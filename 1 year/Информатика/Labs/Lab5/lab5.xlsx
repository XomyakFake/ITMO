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ppProjects\Inflabs\lab5\"/>
    </mc:Choice>
  </mc:AlternateContent>
  <bookViews>
    <workbookView xWindow="0" yWindow="0" windowWidth="16110" windowHeight="838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63" i="1" l="1"/>
  <c r="AF56" i="1"/>
  <c r="AF50" i="1"/>
  <c r="AF43" i="1"/>
  <c r="AF36" i="1"/>
  <c r="AF29" i="1"/>
  <c r="AF22" i="1"/>
  <c r="H18" i="1"/>
  <c r="H19" i="1"/>
  <c r="AE60" i="1"/>
  <c r="Z60" i="1"/>
  <c r="Y58" i="1" s="1"/>
  <c r="Y60" i="1"/>
  <c r="X60" i="1"/>
  <c r="W60" i="1"/>
  <c r="V60" i="1"/>
  <c r="U60" i="1"/>
  <c r="T60" i="1"/>
  <c r="S60" i="1"/>
  <c r="R60" i="1"/>
  <c r="Q60" i="1"/>
  <c r="Q61" i="1" s="1"/>
  <c r="P60" i="1"/>
  <c r="O60" i="1"/>
  <c r="N60" i="1"/>
  <c r="M60" i="1"/>
  <c r="L60" i="1"/>
  <c r="K60" i="1"/>
  <c r="J60" i="1"/>
  <c r="I60" i="1"/>
  <c r="H60" i="1"/>
  <c r="AE59" i="1"/>
  <c r="AE61" i="1" s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V54" i="1"/>
  <c r="Q54" i="1"/>
  <c r="AE53" i="1"/>
  <c r="Z53" i="1"/>
  <c r="Y51" i="1" s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AE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V48" i="1"/>
  <c r="AE47" i="1"/>
  <c r="Z47" i="1"/>
  <c r="Y47" i="1"/>
  <c r="X47" i="1"/>
  <c r="W47" i="1"/>
  <c r="V47" i="1"/>
  <c r="U47" i="1"/>
  <c r="T47" i="1"/>
  <c r="S47" i="1"/>
  <c r="R47" i="1"/>
  <c r="Q47" i="1"/>
  <c r="Q48" i="1" s="1"/>
  <c r="P47" i="1"/>
  <c r="O47" i="1"/>
  <c r="N47" i="1"/>
  <c r="M47" i="1"/>
  <c r="L47" i="1"/>
  <c r="K47" i="1"/>
  <c r="J47" i="1"/>
  <c r="I47" i="1"/>
  <c r="H47" i="1"/>
  <c r="AE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AE40" i="1"/>
  <c r="Z40" i="1"/>
  <c r="Y38" i="1" s="1"/>
  <c r="Y40" i="1"/>
  <c r="X40" i="1"/>
  <c r="W40" i="1"/>
  <c r="V40" i="1"/>
  <c r="V41" i="1" s="1"/>
  <c r="U40" i="1"/>
  <c r="T40" i="1"/>
  <c r="S40" i="1"/>
  <c r="R40" i="1"/>
  <c r="Q40" i="1"/>
  <c r="Q41" i="1" s="1"/>
  <c r="P40" i="1"/>
  <c r="O40" i="1"/>
  <c r="N40" i="1"/>
  <c r="M40" i="1"/>
  <c r="L40" i="1"/>
  <c r="L41" i="1" s="1"/>
  <c r="K40" i="1"/>
  <c r="J40" i="1"/>
  <c r="I40" i="1"/>
  <c r="H40" i="1"/>
  <c r="AE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AE33" i="1"/>
  <c r="Z33" i="1"/>
  <c r="Y33" i="1"/>
  <c r="X33" i="1"/>
  <c r="W33" i="1"/>
  <c r="V33" i="1"/>
  <c r="U33" i="1"/>
  <c r="T33" i="1"/>
  <c r="S33" i="1"/>
  <c r="R33" i="1"/>
  <c r="Q33" i="1"/>
  <c r="Q34" i="1" s="1"/>
  <c r="P33" i="1"/>
  <c r="O33" i="1"/>
  <c r="N33" i="1"/>
  <c r="M33" i="1"/>
  <c r="L33" i="1"/>
  <c r="K33" i="1"/>
  <c r="J33" i="1"/>
  <c r="I33" i="1"/>
  <c r="H33" i="1"/>
  <c r="AE32" i="1"/>
  <c r="AE34" i="1" s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U29" i="1"/>
  <c r="S29" i="1"/>
  <c r="P29" i="1"/>
  <c r="N29" i="1"/>
  <c r="L29" i="1"/>
  <c r="J29" i="1"/>
  <c r="AE26" i="1"/>
  <c r="AE25" i="1"/>
  <c r="AE27" i="1" s="1"/>
  <c r="AB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Z27" i="1"/>
  <c r="Y26" i="1"/>
  <c r="Y25" i="1"/>
  <c r="Y24" i="1"/>
  <c r="Y20" i="1"/>
  <c r="Y19" i="1"/>
  <c r="Y18" i="1"/>
  <c r="X17" i="1" s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Z26" i="1"/>
  <c r="H26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Z25" i="1"/>
  <c r="H25" i="1"/>
  <c r="AE20" i="1"/>
  <c r="AE19" i="1"/>
  <c r="AE18" i="1"/>
  <c r="L20" i="1"/>
  <c r="Q20" i="1"/>
  <c r="V20" i="1"/>
  <c r="Y17" i="1"/>
  <c r="Z20" i="1"/>
  <c r="H6" i="1"/>
  <c r="H5" i="1"/>
  <c r="I5" i="1"/>
  <c r="J5" i="1"/>
  <c r="H4" i="1"/>
  <c r="I4" i="1"/>
  <c r="I18" i="1" s="1"/>
  <c r="J4" i="1"/>
  <c r="J18" i="1" s="1"/>
  <c r="P19" i="1"/>
  <c r="Q19" i="1"/>
  <c r="R19" i="1"/>
  <c r="S19" i="1"/>
  <c r="T19" i="1"/>
  <c r="U19" i="1"/>
  <c r="V19" i="1"/>
  <c r="W19" i="1"/>
  <c r="X19" i="1"/>
  <c r="Z19" i="1"/>
  <c r="M19" i="1"/>
  <c r="N19" i="1"/>
  <c r="O19" i="1"/>
  <c r="L19" i="1"/>
  <c r="K19" i="1"/>
  <c r="I19" i="1"/>
  <c r="J19" i="1"/>
  <c r="M18" i="1"/>
  <c r="N18" i="1"/>
  <c r="O18" i="1"/>
  <c r="P18" i="1"/>
  <c r="Q18" i="1"/>
  <c r="R18" i="1"/>
  <c r="S18" i="1"/>
  <c r="T18" i="1"/>
  <c r="U18" i="1"/>
  <c r="V18" i="1"/>
  <c r="W18" i="1"/>
  <c r="X18" i="1"/>
  <c r="Z18" i="1"/>
  <c r="K18" i="1"/>
  <c r="L18" i="1"/>
  <c r="Z4" i="1"/>
  <c r="V6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Z6" i="1"/>
  <c r="Y6" i="1"/>
  <c r="X6" i="1"/>
  <c r="W6" i="1"/>
  <c r="U6" i="1"/>
  <c r="T6" i="1"/>
  <c r="S6" i="1"/>
  <c r="R6" i="1"/>
  <c r="Q6" i="1"/>
  <c r="P6" i="1"/>
  <c r="O6" i="1"/>
  <c r="N6" i="1"/>
  <c r="M6" i="1"/>
  <c r="L6" i="1"/>
  <c r="K6" i="1"/>
  <c r="J6" i="1"/>
  <c r="I6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C8" i="1"/>
  <c r="C14" i="1" s="1"/>
  <c r="C7" i="1"/>
  <c r="C13" i="1" s="1"/>
  <c r="C6" i="1"/>
  <c r="C12" i="1" s="1"/>
  <c r="C5" i="1"/>
  <c r="C11" i="1" s="1"/>
  <c r="C4" i="1"/>
  <c r="C10" i="1" s="1"/>
  <c r="X58" i="1" l="1"/>
  <c r="X61" i="1" s="1"/>
  <c r="V61" i="1"/>
  <c r="Y61" i="1"/>
  <c r="Z61" i="1"/>
  <c r="L61" i="1"/>
  <c r="AE54" i="1"/>
  <c r="X51" i="1"/>
  <c r="W51" i="1" s="1"/>
  <c r="Y54" i="1"/>
  <c r="Z54" i="1"/>
  <c r="L54" i="1"/>
  <c r="AE48" i="1"/>
  <c r="Y45" i="1"/>
  <c r="Y48" i="1" s="1"/>
  <c r="Z48" i="1"/>
  <c r="L48" i="1"/>
  <c r="AE41" i="1"/>
  <c r="X38" i="1"/>
  <c r="W38" i="1" s="1"/>
  <c r="X41" i="1"/>
  <c r="Y41" i="1"/>
  <c r="Z41" i="1"/>
  <c r="Y31" i="1"/>
  <c r="X31" i="1" s="1"/>
  <c r="V34" i="1"/>
  <c r="L34" i="1"/>
  <c r="Z34" i="1"/>
  <c r="Y27" i="1"/>
  <c r="X24" i="1"/>
  <c r="W24" i="1" s="1"/>
  <c r="V24" i="1" s="1"/>
  <c r="U24" i="1" s="1"/>
  <c r="T24" i="1" s="1"/>
  <c r="S24" i="1" s="1"/>
  <c r="R24" i="1" s="1"/>
  <c r="Q24" i="1" s="1"/>
  <c r="P24" i="1" s="1"/>
  <c r="O24" i="1" s="1"/>
  <c r="N24" i="1" s="1"/>
  <c r="M24" i="1" s="1"/>
  <c r="L24" i="1" s="1"/>
  <c r="K24" i="1" s="1"/>
  <c r="J24" i="1" s="1"/>
  <c r="I24" i="1" s="1"/>
  <c r="H24" i="1" s="1"/>
  <c r="W17" i="1"/>
  <c r="X20" i="1"/>
  <c r="C9" i="1"/>
  <c r="C15" i="1" s="1"/>
  <c r="W58" i="1" l="1"/>
  <c r="V51" i="1"/>
  <c r="N56" i="1" s="1"/>
  <c r="W54" i="1"/>
  <c r="X54" i="1"/>
  <c r="X45" i="1"/>
  <c r="W45" i="1" s="1"/>
  <c r="W48" i="1" s="1"/>
  <c r="W41" i="1"/>
  <c r="V38" i="1"/>
  <c r="Y34" i="1"/>
  <c r="W31" i="1"/>
  <c r="X34" i="1"/>
  <c r="W34" i="1"/>
  <c r="V31" i="1"/>
  <c r="V17" i="1"/>
  <c r="W20" i="1"/>
  <c r="V58" i="1" l="1"/>
  <c r="W61" i="1"/>
  <c r="U51" i="1"/>
  <c r="U54" i="1" s="1"/>
  <c r="T51" i="1"/>
  <c r="V45" i="1"/>
  <c r="U45" i="1" s="1"/>
  <c r="X48" i="1"/>
  <c r="U38" i="1"/>
  <c r="N43" i="1"/>
  <c r="N36" i="1"/>
  <c r="U31" i="1"/>
  <c r="U17" i="1"/>
  <c r="N22" i="1"/>
  <c r="N63" i="1" l="1"/>
  <c r="U58" i="1"/>
  <c r="T54" i="1"/>
  <c r="S51" i="1"/>
  <c r="N50" i="1"/>
  <c r="T45" i="1"/>
  <c r="U48" i="1"/>
  <c r="T38" i="1"/>
  <c r="U41" i="1"/>
  <c r="T31" i="1"/>
  <c r="U34" i="1"/>
  <c r="T17" i="1"/>
  <c r="U20" i="1"/>
  <c r="T58" i="1" l="1"/>
  <c r="U61" i="1"/>
  <c r="R51" i="1"/>
  <c r="S54" i="1"/>
  <c r="S45" i="1"/>
  <c r="T48" i="1"/>
  <c r="S38" i="1"/>
  <c r="T41" i="1"/>
  <c r="S31" i="1"/>
  <c r="T34" i="1"/>
  <c r="S17" i="1"/>
  <c r="T20" i="1"/>
  <c r="S58" i="1" l="1"/>
  <c r="T61" i="1"/>
  <c r="Q51" i="1"/>
  <c r="P51" i="1" s="1"/>
  <c r="R54" i="1"/>
  <c r="L56" i="1" s="1"/>
  <c r="R45" i="1"/>
  <c r="S48" i="1"/>
  <c r="S41" i="1"/>
  <c r="R38" i="1"/>
  <c r="R31" i="1"/>
  <c r="S34" i="1"/>
  <c r="R17" i="1"/>
  <c r="S20" i="1"/>
  <c r="R58" i="1" l="1"/>
  <c r="S61" i="1"/>
  <c r="P54" i="1"/>
  <c r="O51" i="1"/>
  <c r="Q45" i="1"/>
  <c r="P45" i="1" s="1"/>
  <c r="R48" i="1"/>
  <c r="L50" i="1" s="1"/>
  <c r="Q38" i="1"/>
  <c r="P38" i="1" s="1"/>
  <c r="R41" i="1"/>
  <c r="L43" i="1" s="1"/>
  <c r="Q31" i="1"/>
  <c r="P31" i="1" s="1"/>
  <c r="R34" i="1"/>
  <c r="L36" i="1" s="1"/>
  <c r="Q17" i="1"/>
  <c r="P17" i="1" s="1"/>
  <c r="R20" i="1"/>
  <c r="L22" i="1" s="1"/>
  <c r="Q58" i="1" l="1"/>
  <c r="P58" i="1" s="1"/>
  <c r="R61" i="1"/>
  <c r="L63" i="1" s="1"/>
  <c r="N51" i="1"/>
  <c r="O54" i="1"/>
  <c r="O45" i="1"/>
  <c r="P48" i="1"/>
  <c r="O38" i="1"/>
  <c r="P41" i="1"/>
  <c r="O31" i="1"/>
  <c r="P34" i="1"/>
  <c r="O17" i="1"/>
  <c r="P20" i="1"/>
  <c r="O58" i="1" l="1"/>
  <c r="P61" i="1"/>
  <c r="M51" i="1"/>
  <c r="N54" i="1"/>
  <c r="N45" i="1"/>
  <c r="O48" i="1"/>
  <c r="N38" i="1"/>
  <c r="O41" i="1"/>
  <c r="N31" i="1"/>
  <c r="O34" i="1"/>
  <c r="N17" i="1"/>
  <c r="O20" i="1"/>
  <c r="N58" i="1" l="1"/>
  <c r="O61" i="1"/>
  <c r="L51" i="1"/>
  <c r="K51" i="1" s="1"/>
  <c r="M54" i="1"/>
  <c r="M45" i="1"/>
  <c r="N48" i="1"/>
  <c r="M38" i="1"/>
  <c r="N41" i="1"/>
  <c r="M31" i="1"/>
  <c r="N34" i="1"/>
  <c r="M17" i="1"/>
  <c r="N20" i="1"/>
  <c r="M58" i="1" l="1"/>
  <c r="N61" i="1"/>
  <c r="K54" i="1"/>
  <c r="J51" i="1"/>
  <c r="M48" i="1"/>
  <c r="L45" i="1"/>
  <c r="K45" i="1" s="1"/>
  <c r="M41" i="1"/>
  <c r="L38" i="1"/>
  <c r="K38" i="1" s="1"/>
  <c r="L31" i="1"/>
  <c r="K31" i="1" s="1"/>
  <c r="M34" i="1"/>
  <c r="L17" i="1"/>
  <c r="K17" i="1" s="1"/>
  <c r="M20" i="1"/>
  <c r="L58" i="1" l="1"/>
  <c r="K58" i="1" s="1"/>
  <c r="M61" i="1"/>
  <c r="I51" i="1"/>
  <c r="J54" i="1"/>
  <c r="K48" i="1"/>
  <c r="J45" i="1"/>
  <c r="J38" i="1"/>
  <c r="K41" i="1"/>
  <c r="J31" i="1"/>
  <c r="K34" i="1"/>
  <c r="J17" i="1"/>
  <c r="K20" i="1"/>
  <c r="J58" i="1" l="1"/>
  <c r="K61" i="1"/>
  <c r="I54" i="1"/>
  <c r="H51" i="1"/>
  <c r="J48" i="1"/>
  <c r="I45" i="1"/>
  <c r="J41" i="1"/>
  <c r="I38" i="1"/>
  <c r="I31" i="1"/>
  <c r="J34" i="1"/>
  <c r="I17" i="1"/>
  <c r="J20" i="1"/>
  <c r="J61" i="1" l="1"/>
  <c r="I58" i="1"/>
  <c r="J56" i="1"/>
  <c r="H54" i="1"/>
  <c r="H45" i="1"/>
  <c r="I48" i="1"/>
  <c r="H38" i="1"/>
  <c r="I41" i="1"/>
  <c r="I34" i="1"/>
  <c r="H31" i="1"/>
  <c r="H17" i="1"/>
  <c r="I20" i="1"/>
  <c r="I61" i="1" l="1"/>
  <c r="H58" i="1"/>
  <c r="S56" i="1"/>
  <c r="AB54" i="1"/>
  <c r="P56" i="1" s="1"/>
  <c r="U56" i="1"/>
  <c r="J50" i="1"/>
  <c r="H48" i="1"/>
  <c r="J43" i="1"/>
  <c r="H41" i="1"/>
  <c r="J36" i="1"/>
  <c r="H34" i="1"/>
  <c r="H20" i="1"/>
  <c r="G21" i="1" s="1"/>
  <c r="J22" i="1"/>
  <c r="J63" i="1" l="1"/>
  <c r="H61" i="1"/>
  <c r="AB48" i="1"/>
  <c r="P50" i="1" s="1"/>
  <c r="S50" i="1"/>
  <c r="U50" i="1"/>
  <c r="S43" i="1"/>
  <c r="AB41" i="1"/>
  <c r="P43" i="1" s="1"/>
  <c r="U43" i="1"/>
  <c r="S36" i="1"/>
  <c r="U36" i="1"/>
  <c r="AB34" i="1"/>
  <c r="P36" i="1" s="1"/>
  <c r="S22" i="1"/>
  <c r="AB20" i="1"/>
  <c r="U22" i="1"/>
  <c r="P22" i="1" l="1"/>
  <c r="S63" i="1"/>
  <c r="U63" i="1"/>
  <c r="AB61" i="1"/>
  <c r="P63" i="1" s="1"/>
</calcChain>
</file>

<file path=xl/sharedStrings.xml><?xml version="1.0" encoding="utf-8"?>
<sst xmlns="http://schemas.openxmlformats.org/spreadsheetml/2006/main" count="155" uniqueCount="54">
  <si>
    <t>A =</t>
  </si>
  <si>
    <t>C =</t>
  </si>
  <si>
    <t>X1</t>
  </si>
  <si>
    <t>A=</t>
  </si>
  <si>
    <t>X2</t>
  </si>
  <si>
    <t>C=</t>
  </si>
  <si>
    <t>X3</t>
  </si>
  <si>
    <t>A+C=</t>
  </si>
  <si>
    <t>X4</t>
  </si>
  <si>
    <t>A+C+C=</t>
  </si>
  <si>
    <t>X5</t>
  </si>
  <si>
    <t>C-A=</t>
  </si>
  <si>
    <t>X6</t>
  </si>
  <si>
    <t>65536-X4=</t>
  </si>
  <si>
    <t>X7</t>
  </si>
  <si>
    <t>-X1=</t>
  </si>
  <si>
    <t>X8</t>
  </si>
  <si>
    <t>-X2=</t>
  </si>
  <si>
    <t>X9</t>
  </si>
  <si>
    <t>-X3=</t>
  </si>
  <si>
    <t>X10</t>
  </si>
  <si>
    <t>-X4=</t>
  </si>
  <si>
    <t>X11</t>
  </si>
  <si>
    <t>-X5=</t>
  </si>
  <si>
    <t>X12</t>
  </si>
  <si>
    <t>-X6=</t>
  </si>
  <si>
    <r>
      <t>ОДЗ: [-2</t>
    </r>
    <r>
      <rPr>
        <vertAlign val="superscript"/>
        <sz val="11"/>
        <color theme="1"/>
        <rFont val="Calibri"/>
        <family val="2"/>
        <charset val="204"/>
        <scheme val="minor"/>
      </rPr>
      <t>15</t>
    </r>
    <r>
      <rPr>
        <sz val="11"/>
        <color theme="1"/>
        <rFont val="Calibri"/>
        <family val="2"/>
        <charset val="204"/>
        <scheme val="minor"/>
      </rPr>
      <t>; 2</t>
    </r>
    <r>
      <rPr>
        <vertAlign val="superscript"/>
        <sz val="11"/>
        <color theme="1"/>
        <rFont val="Calibri"/>
        <family val="2"/>
        <charset val="204"/>
        <scheme val="minor"/>
      </rPr>
      <t>15</t>
    </r>
    <r>
      <rPr>
        <sz val="11"/>
        <color theme="1"/>
        <rFont val="Calibri"/>
        <family val="2"/>
        <charset val="204"/>
        <scheme val="minor"/>
      </rPr>
      <t>-1]</t>
    </r>
  </si>
  <si>
    <t>B1</t>
  </si>
  <si>
    <t>=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</si>
  <si>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</si>
  <si>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</si>
  <si>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</si>
  <si>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</si>
  <si>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</si>
  <si>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</si>
  <si>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</si>
  <si>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</si>
  <si>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</si>
  <si>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</si>
  <si>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</si>
  <si>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+</t>
  </si>
  <si>
    <t>CF =</t>
  </si>
  <si>
    <t xml:space="preserve">PF = </t>
  </si>
  <si>
    <t>AF =</t>
  </si>
  <si>
    <t>ZF =</t>
  </si>
  <si>
    <t>SF =</t>
  </si>
  <si>
    <t xml:space="preserve"> </t>
  </si>
  <si>
    <t>OF =</t>
  </si>
  <si>
    <t>При сложении двух положительных слагаемых получено положительное число. Результат выполнения операции верный и корректный, совпадает с суммой десятичных эквивалентов.</t>
  </si>
  <si>
    <t>При сложении двух отрицательных слагаемых получено отрицательное число. Результат выполнения операции верный и корректный, совпадает с суммой десятичных эквивалентов.</t>
  </si>
  <si>
    <t>При сложении положительного и отрицательного слагаемых получено положительное число. Результат выполнения операции верный и корректный, совпадает с суммой десятичных эквивалентов.</t>
  </si>
  <si>
    <t>При сложении положительного и отрицательного слагаемых получено отрицательное число. Результат выполнения операции верный и корректный, совпадает с суммой десятичных эквивалентов.</t>
  </si>
  <si>
    <t>При сложении двух отрицательных слагаемых получено положительное число. Результат выполнения операции неверный в ходе возникновения переполнения,не совпадает с суммой десятичных эквивалентов.</t>
  </si>
  <si>
    <t>При сложении двух положительных слагаемых получено отрицательное число. Результат выполнения операции неверный в ходе возникновения переполнения,не совпадает с суммой десятичных эквивалентов.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</si>
</sst>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 applyFont="1" applyAlignment="1">
      <alignment horizontal="center"/>
    </xf>
    <xf numFmtId="0" fontId="1" fillId="0" borderId="0" xfId="1" applyAlignment="1">
      <alignment horizontal="right"/>
    </xf>
    <xf numFmtId="0" fontId="1" fillId="0" borderId="0" xfId="1"/>
    <xf numFmtId="0" fontId="1" fillId="0" borderId="0" xfId="1" quotePrefix="1" applyAlignment="1">
      <alignment horizontal="righ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3"/>
  <sheetViews>
    <sheetView tabSelected="1" view="pageLayout" zoomScaleNormal="100" workbookViewId="0">
      <selection activeCell="E3" sqref="E3"/>
    </sheetView>
  </sheetViews>
  <sheetFormatPr defaultRowHeight="15" x14ac:dyDescent="0.25"/>
  <cols>
    <col min="2" max="2" width="10.85546875" customWidth="1"/>
    <col min="7" max="7" width="15.7109375" customWidth="1"/>
  </cols>
  <sheetData>
    <row r="1" spans="1:32" ht="17.25" x14ac:dyDescent="0.25">
      <c r="B1" t="s">
        <v>0</v>
      </c>
      <c r="C1">
        <v>7389</v>
      </c>
      <c r="G1" t="s">
        <v>26</v>
      </c>
    </row>
    <row r="2" spans="1:32" x14ac:dyDescent="0.25">
      <c r="B2" t="s">
        <v>1</v>
      </c>
      <c r="C2">
        <v>17178</v>
      </c>
      <c r="AA2" t="s">
        <v>48</v>
      </c>
    </row>
    <row r="3" spans="1:32" x14ac:dyDescent="0.25">
      <c r="G3" s="5"/>
      <c r="H3" s="6">
        <v>18</v>
      </c>
      <c r="I3" s="6">
        <v>17</v>
      </c>
      <c r="J3" s="6">
        <v>16</v>
      </c>
      <c r="K3" s="6">
        <v>15</v>
      </c>
      <c r="L3" s="6">
        <v>14</v>
      </c>
      <c r="M3" s="6">
        <v>13</v>
      </c>
      <c r="N3" s="6">
        <v>12</v>
      </c>
      <c r="O3" s="6">
        <v>11</v>
      </c>
      <c r="P3" s="6">
        <v>10</v>
      </c>
      <c r="Q3" s="6">
        <v>9</v>
      </c>
      <c r="R3" s="6">
        <v>8</v>
      </c>
      <c r="S3" s="6">
        <v>7</v>
      </c>
      <c r="T3" s="6">
        <v>6</v>
      </c>
      <c r="U3" s="6">
        <v>5</v>
      </c>
      <c r="V3" s="6">
        <v>4</v>
      </c>
      <c r="W3" s="6">
        <v>3</v>
      </c>
      <c r="X3" s="6">
        <v>2</v>
      </c>
      <c r="Y3" s="6">
        <v>1</v>
      </c>
      <c r="Z3" s="6">
        <v>0</v>
      </c>
      <c r="AA3" t="s">
        <v>49</v>
      </c>
    </row>
    <row r="4" spans="1:32" x14ac:dyDescent="0.25">
      <c r="A4" s="1" t="s">
        <v>2</v>
      </c>
      <c r="B4" s="2" t="s">
        <v>3</v>
      </c>
      <c r="C4" s="3">
        <f>C1</f>
        <v>7389</v>
      </c>
      <c r="E4" t="s">
        <v>27</v>
      </c>
      <c r="F4" t="s">
        <v>28</v>
      </c>
      <c r="G4" s="5"/>
      <c r="H4" s="5" t="str">
        <f t="shared" ref="H4:Z15" si="0">IF(MOD(H$3+1,5)=0,".",MID(_xlfn.BASE(MOD($C4+65536,65536) + 2^16,2),17+ROUNDDOWN(H$3/5,0)-H$3,1))</f>
        <v>0</v>
      </c>
      <c r="I4" s="5" t="str">
        <f t="shared" si="0"/>
        <v>0</v>
      </c>
      <c r="J4" s="5" t="str">
        <f t="shared" si="0"/>
        <v>0</v>
      </c>
      <c r="K4" s="5" t="str">
        <f t="shared" si="0"/>
        <v>1</v>
      </c>
      <c r="L4" s="5" t="str">
        <f t="shared" si="0"/>
        <v>.</v>
      </c>
      <c r="M4" s="5" t="str">
        <f t="shared" si="0"/>
        <v>1</v>
      </c>
      <c r="N4" s="5" t="str">
        <f t="shared" si="0"/>
        <v>1</v>
      </c>
      <c r="O4" s="5" t="str">
        <f t="shared" si="0"/>
        <v>0</v>
      </c>
      <c r="P4" s="5" t="str">
        <f t="shared" si="0"/>
        <v>0</v>
      </c>
      <c r="Q4" s="5" t="str">
        <f t="shared" si="0"/>
        <v>.</v>
      </c>
      <c r="R4" s="5" t="str">
        <f t="shared" si="0"/>
        <v>1</v>
      </c>
      <c r="S4" s="5" t="str">
        <f t="shared" si="0"/>
        <v>1</v>
      </c>
      <c r="T4" s="5" t="str">
        <f t="shared" si="0"/>
        <v>0</v>
      </c>
      <c r="U4" s="5" t="str">
        <f t="shared" si="0"/>
        <v>1</v>
      </c>
      <c r="V4" s="5" t="str">
        <f t="shared" si="0"/>
        <v>.</v>
      </c>
      <c r="W4" s="5" t="str">
        <f t="shared" si="0"/>
        <v>1</v>
      </c>
      <c r="X4" s="5" t="str">
        <f t="shared" si="0"/>
        <v>1</v>
      </c>
      <c r="Y4" s="5" t="str">
        <f t="shared" si="0"/>
        <v>0</v>
      </c>
      <c r="Z4" s="5" t="str">
        <f>IF(MOD(Z$3+1,5)=0,".",MID(_xlfn.BASE(MOD($C4+65536,65536) + 2^16,2),17+ROUNDDOWN(Z$3/5,0)-Z$3,1))</f>
        <v>1</v>
      </c>
      <c r="AA4" t="s">
        <v>50</v>
      </c>
    </row>
    <row r="5" spans="1:32" x14ac:dyDescent="0.25">
      <c r="A5" s="1" t="s">
        <v>4</v>
      </c>
      <c r="B5" s="2" t="s">
        <v>5</v>
      </c>
      <c r="C5" s="3">
        <f>C2</f>
        <v>17178</v>
      </c>
      <c r="E5" t="s">
        <v>29</v>
      </c>
      <c r="F5" t="s">
        <v>28</v>
      </c>
      <c r="G5" s="5"/>
      <c r="H5" s="5" t="str">
        <f t="shared" si="0"/>
        <v>0</v>
      </c>
      <c r="I5" s="5" t="str">
        <f t="shared" si="0"/>
        <v>1</v>
      </c>
      <c r="J5" s="5" t="str">
        <f t="shared" si="0"/>
        <v>0</v>
      </c>
      <c r="K5" s="5" t="str">
        <f t="shared" si="0"/>
        <v>0</v>
      </c>
      <c r="L5" s="5" t="str">
        <f t="shared" si="0"/>
        <v>.</v>
      </c>
      <c r="M5" s="5" t="str">
        <f t="shared" si="0"/>
        <v>0</v>
      </c>
      <c r="N5" s="5" t="str">
        <f t="shared" si="0"/>
        <v>0</v>
      </c>
      <c r="O5" s="5" t="str">
        <f t="shared" si="0"/>
        <v>1</v>
      </c>
      <c r="P5" s="5" t="str">
        <f t="shared" si="0"/>
        <v>1</v>
      </c>
      <c r="Q5" s="5" t="str">
        <f t="shared" si="0"/>
        <v>.</v>
      </c>
      <c r="R5" s="5" t="str">
        <f t="shared" si="0"/>
        <v>0</v>
      </c>
      <c r="S5" s="5" t="str">
        <f t="shared" si="0"/>
        <v>0</v>
      </c>
      <c r="T5" s="5" t="str">
        <f t="shared" si="0"/>
        <v>0</v>
      </c>
      <c r="U5" s="5" t="str">
        <f t="shared" si="0"/>
        <v>1</v>
      </c>
      <c r="V5" s="5" t="str">
        <f t="shared" si="0"/>
        <v>.</v>
      </c>
      <c r="W5" s="5" t="str">
        <f t="shared" si="0"/>
        <v>1</v>
      </c>
      <c r="X5" s="5" t="str">
        <f t="shared" si="0"/>
        <v>0</v>
      </c>
      <c r="Y5" s="5" t="str">
        <f t="shared" si="0"/>
        <v>1</v>
      </c>
      <c r="Z5" s="5" t="str">
        <f t="shared" si="0"/>
        <v>0</v>
      </c>
      <c r="AA5" t="s">
        <v>51</v>
      </c>
    </row>
    <row r="6" spans="1:32" x14ac:dyDescent="0.25">
      <c r="A6" s="1" t="s">
        <v>6</v>
      </c>
      <c r="B6" s="2" t="s">
        <v>7</v>
      </c>
      <c r="C6" s="3">
        <f>C1+C2</f>
        <v>24567</v>
      </c>
      <c r="E6" t="s">
        <v>30</v>
      </c>
      <c r="F6" t="s">
        <v>28</v>
      </c>
      <c r="G6" s="5"/>
      <c r="H6" s="5" t="str">
        <f t="shared" si="0"/>
        <v>0</v>
      </c>
      <c r="I6" s="5" t="str">
        <f t="shared" si="0"/>
        <v>1</v>
      </c>
      <c r="J6" s="5" t="str">
        <f t="shared" si="0"/>
        <v>0</v>
      </c>
      <c r="K6" s="5" t="str">
        <f t="shared" si="0"/>
        <v>1</v>
      </c>
      <c r="L6" s="5" t="str">
        <f t="shared" si="0"/>
        <v>.</v>
      </c>
      <c r="M6" s="5" t="str">
        <f t="shared" si="0"/>
        <v>1</v>
      </c>
      <c r="N6" s="5" t="str">
        <f t="shared" si="0"/>
        <v>1</v>
      </c>
      <c r="O6" s="5" t="str">
        <f t="shared" si="0"/>
        <v>1</v>
      </c>
      <c r="P6" s="5" t="str">
        <f t="shared" si="0"/>
        <v>1</v>
      </c>
      <c r="Q6" s="5" t="str">
        <f t="shared" si="0"/>
        <v>.</v>
      </c>
      <c r="R6" s="5" t="str">
        <f t="shared" si="0"/>
        <v>1</v>
      </c>
      <c r="S6" s="5" t="str">
        <f t="shared" si="0"/>
        <v>1</v>
      </c>
      <c r="T6" s="5" t="str">
        <f t="shared" si="0"/>
        <v>1</v>
      </c>
      <c r="U6" s="5" t="str">
        <f t="shared" si="0"/>
        <v>1</v>
      </c>
      <c r="V6" s="5" t="str">
        <f>IF(MOD(V$3+1,5)=0,".",MID(_xlfn.BASE(MOD($C6+65536,65536) + 2^16,2),17+ROUNDDOWN(V$3/5,0)-V$3,1))</f>
        <v>.</v>
      </c>
      <c r="W6" s="5" t="str">
        <f t="shared" si="0"/>
        <v>0</v>
      </c>
      <c r="X6" s="5" t="str">
        <f t="shared" si="0"/>
        <v>1</v>
      </c>
      <c r="Y6" s="5" t="str">
        <f t="shared" si="0"/>
        <v>1</v>
      </c>
      <c r="Z6" s="5" t="str">
        <f t="shared" si="0"/>
        <v>1</v>
      </c>
      <c r="AA6" t="s">
        <v>53</v>
      </c>
    </row>
    <row r="7" spans="1:32" x14ac:dyDescent="0.25">
      <c r="A7" s="1" t="s">
        <v>8</v>
      </c>
      <c r="B7" s="2" t="s">
        <v>9</v>
      </c>
      <c r="C7" s="3">
        <f>C1+C2+C2</f>
        <v>41745</v>
      </c>
      <c r="E7" t="s">
        <v>31</v>
      </c>
      <c r="F7" t="s">
        <v>28</v>
      </c>
      <c r="G7" s="5"/>
      <c r="H7" s="5" t="str">
        <f t="shared" ref="H7:H15" si="1">IF(MOD(H$3+1,5)=0,".",MID(_xlfn.BASE(MOD($C7+65536,65536) + 2^16,2),17+ROUNDDOWN(H$3/5,0)-H$3,1))</f>
        <v>1</v>
      </c>
      <c r="I7" s="5" t="str">
        <f t="shared" si="0"/>
        <v>0</v>
      </c>
      <c r="J7" s="5" t="str">
        <f t="shared" si="0"/>
        <v>1</v>
      </c>
      <c r="K7" s="5" t="str">
        <f t="shared" si="0"/>
        <v>0</v>
      </c>
      <c r="L7" s="5" t="str">
        <f t="shared" si="0"/>
        <v>.</v>
      </c>
      <c r="M7" s="5" t="str">
        <f t="shared" si="0"/>
        <v>0</v>
      </c>
      <c r="N7" s="5" t="str">
        <f t="shared" si="0"/>
        <v>0</v>
      </c>
      <c r="O7" s="5" t="str">
        <f t="shared" si="0"/>
        <v>1</v>
      </c>
      <c r="P7" s="5" t="str">
        <f t="shared" si="0"/>
        <v>1</v>
      </c>
      <c r="Q7" s="5" t="str">
        <f t="shared" si="0"/>
        <v>.</v>
      </c>
      <c r="R7" s="5" t="str">
        <f t="shared" si="0"/>
        <v>0</v>
      </c>
      <c r="S7" s="5" t="str">
        <f t="shared" si="0"/>
        <v>0</v>
      </c>
      <c r="T7" s="5" t="str">
        <f t="shared" si="0"/>
        <v>0</v>
      </c>
      <c r="U7" s="5" t="str">
        <f t="shared" si="0"/>
        <v>1</v>
      </c>
      <c r="V7" s="5" t="str">
        <f t="shared" si="0"/>
        <v>.</v>
      </c>
      <c r="W7" s="5" t="str">
        <f t="shared" si="0"/>
        <v>0</v>
      </c>
      <c r="X7" s="5" t="str">
        <f t="shared" si="0"/>
        <v>0</v>
      </c>
      <c r="Y7" s="5" t="str">
        <f t="shared" si="0"/>
        <v>0</v>
      </c>
      <c r="Z7" s="5" t="str">
        <f t="shared" si="0"/>
        <v>1</v>
      </c>
      <c r="AA7" t="s">
        <v>52</v>
      </c>
    </row>
    <row r="8" spans="1:32" x14ac:dyDescent="0.25">
      <c r="A8" s="1" t="s">
        <v>10</v>
      </c>
      <c r="B8" s="2" t="s">
        <v>11</v>
      </c>
      <c r="C8" s="3">
        <f>C2-C1</f>
        <v>9789</v>
      </c>
      <c r="E8" t="s">
        <v>32</v>
      </c>
      <c r="F8" t="s">
        <v>28</v>
      </c>
      <c r="G8" s="5"/>
      <c r="H8" s="5" t="str">
        <f t="shared" si="1"/>
        <v>0</v>
      </c>
      <c r="I8" s="5" t="str">
        <f t="shared" si="0"/>
        <v>0</v>
      </c>
      <c r="J8" s="5" t="str">
        <f t="shared" si="0"/>
        <v>1</v>
      </c>
      <c r="K8" s="5" t="str">
        <f t="shared" si="0"/>
        <v>0</v>
      </c>
      <c r="L8" s="5" t="str">
        <f t="shared" si="0"/>
        <v>.</v>
      </c>
      <c r="M8" s="5" t="str">
        <f t="shared" si="0"/>
        <v>0</v>
      </c>
      <c r="N8" s="5" t="str">
        <f t="shared" si="0"/>
        <v>1</v>
      </c>
      <c r="O8" s="5" t="str">
        <f t="shared" si="0"/>
        <v>1</v>
      </c>
      <c r="P8" s="5" t="str">
        <f t="shared" si="0"/>
        <v>0</v>
      </c>
      <c r="Q8" s="5" t="str">
        <f t="shared" si="0"/>
        <v>.</v>
      </c>
      <c r="R8" s="5" t="str">
        <f t="shared" si="0"/>
        <v>0</v>
      </c>
      <c r="S8" s="5" t="str">
        <f t="shared" si="0"/>
        <v>0</v>
      </c>
      <c r="T8" s="5" t="str">
        <f t="shared" si="0"/>
        <v>1</v>
      </c>
      <c r="U8" s="5" t="str">
        <f t="shared" si="0"/>
        <v>1</v>
      </c>
      <c r="V8" s="5" t="str">
        <f t="shared" si="0"/>
        <v>.</v>
      </c>
      <c r="W8" s="5" t="str">
        <f t="shared" si="0"/>
        <v>1</v>
      </c>
      <c r="X8" s="5" t="str">
        <f t="shared" si="0"/>
        <v>1</v>
      </c>
      <c r="Y8" s="5" t="str">
        <f t="shared" si="0"/>
        <v>0</v>
      </c>
      <c r="Z8" s="5" t="str">
        <f t="shared" si="0"/>
        <v>1</v>
      </c>
    </row>
    <row r="9" spans="1:32" x14ac:dyDescent="0.25">
      <c r="A9" s="1" t="s">
        <v>12</v>
      </c>
      <c r="B9" s="2" t="s">
        <v>13</v>
      </c>
      <c r="C9" s="3">
        <f>65536-C7</f>
        <v>23791</v>
      </c>
      <c r="E9" t="s">
        <v>33</v>
      </c>
      <c r="F9" t="s">
        <v>28</v>
      </c>
      <c r="G9" s="5"/>
      <c r="H9" s="5" t="str">
        <f t="shared" si="1"/>
        <v>0</v>
      </c>
      <c r="I9" s="5" t="str">
        <f t="shared" si="0"/>
        <v>1</v>
      </c>
      <c r="J9" s="5" t="str">
        <f t="shared" si="0"/>
        <v>0</v>
      </c>
      <c r="K9" s="5" t="str">
        <f t="shared" si="0"/>
        <v>1</v>
      </c>
      <c r="L9" s="5" t="str">
        <f t="shared" si="0"/>
        <v>.</v>
      </c>
      <c r="M9" s="5" t="str">
        <f t="shared" si="0"/>
        <v>1</v>
      </c>
      <c r="N9" s="5" t="str">
        <f t="shared" si="0"/>
        <v>1</v>
      </c>
      <c r="O9" s="5" t="str">
        <f t="shared" si="0"/>
        <v>0</v>
      </c>
      <c r="P9" s="5" t="str">
        <f t="shared" si="0"/>
        <v>0</v>
      </c>
      <c r="Q9" s="5" t="str">
        <f t="shared" si="0"/>
        <v>.</v>
      </c>
      <c r="R9" s="5" t="str">
        <f t="shared" si="0"/>
        <v>1</v>
      </c>
      <c r="S9" s="5" t="str">
        <f t="shared" si="0"/>
        <v>1</v>
      </c>
      <c r="T9" s="5" t="str">
        <f t="shared" si="0"/>
        <v>1</v>
      </c>
      <c r="U9" s="5" t="str">
        <f t="shared" si="0"/>
        <v>0</v>
      </c>
      <c r="V9" s="5" t="str">
        <f t="shared" si="0"/>
        <v>.</v>
      </c>
      <c r="W9" s="5" t="str">
        <f t="shared" si="0"/>
        <v>1</v>
      </c>
      <c r="X9" s="5" t="str">
        <f t="shared" si="0"/>
        <v>1</v>
      </c>
      <c r="Y9" s="5" t="str">
        <f t="shared" si="0"/>
        <v>1</v>
      </c>
      <c r="Z9" s="5" t="str">
        <f t="shared" si="0"/>
        <v>1</v>
      </c>
    </row>
    <row r="10" spans="1:32" x14ac:dyDescent="0.25">
      <c r="A10" s="1" t="s">
        <v>14</v>
      </c>
      <c r="B10" s="4" t="s">
        <v>15</v>
      </c>
      <c r="C10" s="3">
        <f>-C4</f>
        <v>-7389</v>
      </c>
      <c r="E10" t="s">
        <v>34</v>
      </c>
      <c r="F10" t="s">
        <v>28</v>
      </c>
      <c r="G10" s="5"/>
      <c r="H10" s="5" t="str">
        <f t="shared" si="1"/>
        <v>1</v>
      </c>
      <c r="I10" s="5" t="str">
        <f t="shared" si="0"/>
        <v>1</v>
      </c>
      <c r="J10" s="5" t="str">
        <f t="shared" si="0"/>
        <v>1</v>
      </c>
      <c r="K10" s="5" t="str">
        <f t="shared" si="0"/>
        <v>0</v>
      </c>
      <c r="L10" s="5" t="str">
        <f t="shared" si="0"/>
        <v>.</v>
      </c>
      <c r="M10" s="5" t="str">
        <f t="shared" si="0"/>
        <v>0</v>
      </c>
      <c r="N10" s="5" t="str">
        <f t="shared" si="0"/>
        <v>0</v>
      </c>
      <c r="O10" s="5" t="str">
        <f t="shared" si="0"/>
        <v>1</v>
      </c>
      <c r="P10" s="5" t="str">
        <f t="shared" si="0"/>
        <v>1</v>
      </c>
      <c r="Q10" s="5" t="str">
        <f t="shared" si="0"/>
        <v>.</v>
      </c>
      <c r="R10" s="5" t="str">
        <f t="shared" si="0"/>
        <v>0</v>
      </c>
      <c r="S10" s="5" t="str">
        <f t="shared" si="0"/>
        <v>0</v>
      </c>
      <c r="T10" s="5" t="str">
        <f t="shared" si="0"/>
        <v>1</v>
      </c>
      <c r="U10" s="5" t="str">
        <f t="shared" si="0"/>
        <v>0</v>
      </c>
      <c r="V10" s="5" t="str">
        <f t="shared" si="0"/>
        <v>.</v>
      </c>
      <c r="W10" s="5" t="str">
        <f t="shared" si="0"/>
        <v>0</v>
      </c>
      <c r="X10" s="5" t="str">
        <f t="shared" si="0"/>
        <v>0</v>
      </c>
      <c r="Y10" s="5" t="str">
        <f t="shared" si="0"/>
        <v>1</v>
      </c>
      <c r="Z10" s="5" t="str">
        <f t="shared" si="0"/>
        <v>1</v>
      </c>
      <c r="AC10">
        <v>2</v>
      </c>
    </row>
    <row r="11" spans="1:32" x14ac:dyDescent="0.25">
      <c r="A11" s="1" t="s">
        <v>16</v>
      </c>
      <c r="B11" s="4" t="s">
        <v>17</v>
      </c>
      <c r="C11" s="3">
        <f t="shared" ref="C11:C15" si="2">-C5</f>
        <v>-17178</v>
      </c>
      <c r="E11" t="s">
        <v>35</v>
      </c>
      <c r="F11" t="s">
        <v>28</v>
      </c>
      <c r="G11" s="5"/>
      <c r="H11" s="5" t="str">
        <f t="shared" si="1"/>
        <v>1</v>
      </c>
      <c r="I11" s="5" t="str">
        <f t="shared" si="0"/>
        <v>0</v>
      </c>
      <c r="J11" s="5" t="str">
        <f t="shared" si="0"/>
        <v>1</v>
      </c>
      <c r="K11" s="5" t="str">
        <f t="shared" si="0"/>
        <v>1</v>
      </c>
      <c r="L11" s="5" t="str">
        <f t="shared" si="0"/>
        <v>.</v>
      </c>
      <c r="M11" s="5" t="str">
        <f t="shared" si="0"/>
        <v>1</v>
      </c>
      <c r="N11" s="5" t="str">
        <f t="shared" si="0"/>
        <v>1</v>
      </c>
      <c r="O11" s="5" t="str">
        <f t="shared" si="0"/>
        <v>0</v>
      </c>
      <c r="P11" s="5" t="str">
        <f t="shared" si="0"/>
        <v>0</v>
      </c>
      <c r="Q11" s="5" t="str">
        <f t="shared" si="0"/>
        <v>.</v>
      </c>
      <c r="R11" s="5" t="str">
        <f t="shared" si="0"/>
        <v>1</v>
      </c>
      <c r="S11" s="5" t="str">
        <f t="shared" si="0"/>
        <v>1</v>
      </c>
      <c r="T11" s="5" t="str">
        <f t="shared" si="0"/>
        <v>1</v>
      </c>
      <c r="U11" s="5" t="str">
        <f t="shared" si="0"/>
        <v>0</v>
      </c>
      <c r="V11" s="5" t="str">
        <f t="shared" si="0"/>
        <v>.</v>
      </c>
      <c r="W11" s="5" t="str">
        <f t="shared" si="0"/>
        <v>0</v>
      </c>
      <c r="X11" s="5" t="str">
        <f t="shared" si="0"/>
        <v>1</v>
      </c>
      <c r="Y11" s="5" t="str">
        <f t="shared" si="0"/>
        <v>1</v>
      </c>
      <c r="Z11" s="5" t="str">
        <f t="shared" si="0"/>
        <v>0</v>
      </c>
      <c r="AC11">
        <v>0</v>
      </c>
      <c r="AD11">
        <v>0</v>
      </c>
      <c r="AE11">
        <v>1</v>
      </c>
      <c r="AF11">
        <v>1</v>
      </c>
    </row>
    <row r="12" spans="1:32" x14ac:dyDescent="0.25">
      <c r="A12" s="1" t="s">
        <v>18</v>
      </c>
      <c r="B12" s="4" t="s">
        <v>19</v>
      </c>
      <c r="C12" s="3">
        <f t="shared" si="2"/>
        <v>-24567</v>
      </c>
      <c r="E12" t="s">
        <v>36</v>
      </c>
      <c r="F12" t="s">
        <v>28</v>
      </c>
      <c r="G12" s="5"/>
      <c r="H12" s="5" t="str">
        <f t="shared" si="1"/>
        <v>1</v>
      </c>
      <c r="I12" s="5" t="str">
        <f t="shared" si="0"/>
        <v>0</v>
      </c>
      <c r="J12" s="5" t="str">
        <f t="shared" si="0"/>
        <v>1</v>
      </c>
      <c r="K12" s="5" t="str">
        <f t="shared" si="0"/>
        <v>0</v>
      </c>
      <c r="L12" s="5" t="str">
        <f t="shared" si="0"/>
        <v>.</v>
      </c>
      <c r="M12" s="5" t="str">
        <f t="shared" si="0"/>
        <v>0</v>
      </c>
      <c r="N12" s="5" t="str">
        <f t="shared" si="0"/>
        <v>0</v>
      </c>
      <c r="O12" s="5" t="str">
        <f t="shared" si="0"/>
        <v>0</v>
      </c>
      <c r="P12" s="5" t="str">
        <f t="shared" si="0"/>
        <v>0</v>
      </c>
      <c r="Q12" s="5" t="str">
        <f t="shared" si="0"/>
        <v>.</v>
      </c>
      <c r="R12" s="5" t="str">
        <f t="shared" si="0"/>
        <v>0</v>
      </c>
      <c r="S12" s="5" t="str">
        <f t="shared" si="0"/>
        <v>0</v>
      </c>
      <c r="T12" s="5" t="str">
        <f t="shared" si="0"/>
        <v>0</v>
      </c>
      <c r="U12" s="5" t="str">
        <f t="shared" si="0"/>
        <v>0</v>
      </c>
      <c r="V12" s="5" t="str">
        <f t="shared" si="0"/>
        <v>.</v>
      </c>
      <c r="W12" s="5" t="str">
        <f t="shared" si="0"/>
        <v>1</v>
      </c>
      <c r="X12" s="5" t="str">
        <f t="shared" si="0"/>
        <v>0</v>
      </c>
      <c r="Y12" s="5" t="str">
        <f t="shared" si="0"/>
        <v>0</v>
      </c>
      <c r="Z12" s="5" t="str">
        <f t="shared" si="0"/>
        <v>1</v>
      </c>
    </row>
    <row r="13" spans="1:32" x14ac:dyDescent="0.25">
      <c r="A13" s="1" t="s">
        <v>20</v>
      </c>
      <c r="B13" s="4" t="s">
        <v>21</v>
      </c>
      <c r="C13" s="3">
        <f t="shared" si="2"/>
        <v>-41745</v>
      </c>
      <c r="E13" t="s">
        <v>37</v>
      </c>
      <c r="F13" t="s">
        <v>28</v>
      </c>
      <c r="G13" s="5"/>
      <c r="H13" s="5" t="str">
        <f t="shared" si="1"/>
        <v>0</v>
      </c>
      <c r="I13" s="5" t="str">
        <f t="shared" si="0"/>
        <v>1</v>
      </c>
      <c r="J13" s="5" t="str">
        <f t="shared" si="0"/>
        <v>0</v>
      </c>
      <c r="K13" s="5" t="str">
        <f t="shared" si="0"/>
        <v>1</v>
      </c>
      <c r="L13" s="5" t="str">
        <f t="shared" si="0"/>
        <v>.</v>
      </c>
      <c r="M13" s="5" t="str">
        <f t="shared" si="0"/>
        <v>1</v>
      </c>
      <c r="N13" s="5" t="str">
        <f t="shared" si="0"/>
        <v>1</v>
      </c>
      <c r="O13" s="5" t="str">
        <f t="shared" si="0"/>
        <v>0</v>
      </c>
      <c r="P13" s="5" t="str">
        <f t="shared" si="0"/>
        <v>0</v>
      </c>
      <c r="Q13" s="5" t="str">
        <f t="shared" si="0"/>
        <v>.</v>
      </c>
      <c r="R13" s="5" t="str">
        <f t="shared" si="0"/>
        <v>1</v>
      </c>
      <c r="S13" s="5" t="str">
        <f t="shared" si="0"/>
        <v>1</v>
      </c>
      <c r="T13" s="5" t="str">
        <f t="shared" si="0"/>
        <v>1</v>
      </c>
      <c r="U13" s="5" t="str">
        <f t="shared" si="0"/>
        <v>0</v>
      </c>
      <c r="V13" s="5" t="str">
        <f t="shared" si="0"/>
        <v>.</v>
      </c>
      <c r="W13" s="5" t="str">
        <f t="shared" si="0"/>
        <v>1</v>
      </c>
      <c r="X13" s="5" t="str">
        <f t="shared" si="0"/>
        <v>1</v>
      </c>
      <c r="Y13" s="5" t="str">
        <f t="shared" si="0"/>
        <v>1</v>
      </c>
      <c r="Z13" s="5" t="str">
        <f t="shared" si="0"/>
        <v>1</v>
      </c>
    </row>
    <row r="14" spans="1:32" x14ac:dyDescent="0.25">
      <c r="A14" s="1" t="s">
        <v>22</v>
      </c>
      <c r="B14" s="4" t="s">
        <v>23</v>
      </c>
      <c r="C14" s="3">
        <f t="shared" si="2"/>
        <v>-9789</v>
      </c>
      <c r="E14" t="s">
        <v>38</v>
      </c>
      <c r="F14" t="s">
        <v>28</v>
      </c>
      <c r="G14" s="5"/>
      <c r="H14" s="5" t="str">
        <f t="shared" si="1"/>
        <v>1</v>
      </c>
      <c r="I14" s="5" t="str">
        <f t="shared" si="0"/>
        <v>1</v>
      </c>
      <c r="J14" s="5" t="str">
        <f t="shared" si="0"/>
        <v>0</v>
      </c>
      <c r="K14" s="5" t="str">
        <f t="shared" si="0"/>
        <v>1</v>
      </c>
      <c r="L14" s="5" t="str">
        <f t="shared" si="0"/>
        <v>.</v>
      </c>
      <c r="M14" s="5" t="str">
        <f t="shared" si="0"/>
        <v>1</v>
      </c>
      <c r="N14" s="5" t="str">
        <f t="shared" si="0"/>
        <v>0</v>
      </c>
      <c r="O14" s="5" t="str">
        <f t="shared" si="0"/>
        <v>0</v>
      </c>
      <c r="P14" s="5" t="str">
        <f t="shared" si="0"/>
        <v>1</v>
      </c>
      <c r="Q14" s="5" t="str">
        <f t="shared" si="0"/>
        <v>.</v>
      </c>
      <c r="R14" s="5" t="str">
        <f t="shared" si="0"/>
        <v>1</v>
      </c>
      <c r="S14" s="5" t="str">
        <f t="shared" si="0"/>
        <v>1</v>
      </c>
      <c r="T14" s="5" t="str">
        <f t="shared" si="0"/>
        <v>0</v>
      </c>
      <c r="U14" s="5" t="str">
        <f t="shared" si="0"/>
        <v>0</v>
      </c>
      <c r="V14" s="5" t="str">
        <f t="shared" si="0"/>
        <v>.</v>
      </c>
      <c r="W14" s="5" t="str">
        <f t="shared" si="0"/>
        <v>0</v>
      </c>
      <c r="X14" s="5" t="str">
        <f t="shared" si="0"/>
        <v>0</v>
      </c>
      <c r="Y14" s="5" t="str">
        <f t="shared" si="0"/>
        <v>1</v>
      </c>
      <c r="Z14" s="5" t="str">
        <f t="shared" si="0"/>
        <v>1</v>
      </c>
    </row>
    <row r="15" spans="1:32" x14ac:dyDescent="0.25">
      <c r="A15" s="1" t="s">
        <v>24</v>
      </c>
      <c r="B15" s="4" t="s">
        <v>25</v>
      </c>
      <c r="C15" s="3">
        <f t="shared" si="2"/>
        <v>-23791</v>
      </c>
      <c r="E15" t="s">
        <v>39</v>
      </c>
      <c r="F15" t="s">
        <v>28</v>
      </c>
      <c r="G15" s="5"/>
      <c r="H15" s="5" t="str">
        <f t="shared" si="1"/>
        <v>1</v>
      </c>
      <c r="I15" s="5" t="str">
        <f t="shared" si="0"/>
        <v>0</v>
      </c>
      <c r="J15" s="5" t="str">
        <f t="shared" si="0"/>
        <v>1</v>
      </c>
      <c r="K15" s="5" t="str">
        <f t="shared" si="0"/>
        <v>0</v>
      </c>
      <c r="L15" s="5" t="str">
        <f t="shared" si="0"/>
        <v>.</v>
      </c>
      <c r="M15" s="5" t="str">
        <f t="shared" si="0"/>
        <v>0</v>
      </c>
      <c r="N15" s="5" t="str">
        <f t="shared" si="0"/>
        <v>0</v>
      </c>
      <c r="O15" s="5" t="str">
        <f>IF(MOD(O$3+1,5)=0,".",MID(_xlfn.BASE(MOD($C15+65536,65536) + 2^16,2),17+ROUNDDOWN(O$3/5,0)-O$3,1))</f>
        <v>1</v>
      </c>
      <c r="P15" s="5" t="str">
        <f t="shared" si="0"/>
        <v>1</v>
      </c>
      <c r="Q15" s="5" t="str">
        <f t="shared" si="0"/>
        <v>.</v>
      </c>
      <c r="R15" s="5" t="str">
        <f t="shared" si="0"/>
        <v>0</v>
      </c>
      <c r="S15" s="5" t="str">
        <f t="shared" si="0"/>
        <v>0</v>
      </c>
      <c r="T15" s="5" t="str">
        <f t="shared" si="0"/>
        <v>0</v>
      </c>
      <c r="U15" s="5" t="str">
        <f t="shared" si="0"/>
        <v>1</v>
      </c>
      <c r="V15" s="5" t="str">
        <f t="shared" si="0"/>
        <v>.</v>
      </c>
      <c r="W15" s="5" t="str">
        <f t="shared" si="0"/>
        <v>0</v>
      </c>
      <c r="X15" s="5" t="str">
        <f t="shared" si="0"/>
        <v>0</v>
      </c>
      <c r="Y15" s="5" t="str">
        <f t="shared" si="0"/>
        <v>0</v>
      </c>
      <c r="Z15" s="5" t="str">
        <f t="shared" si="0"/>
        <v>1</v>
      </c>
    </row>
    <row r="17" spans="6:33" x14ac:dyDescent="0.25">
      <c r="H17" s="10">
        <f t="shared" ref="H17:X17" si="3">IF(I19=".",I17,ROUNDDOWN((I17+I18+I19)/2,0))</f>
        <v>0</v>
      </c>
      <c r="I17" s="10">
        <f t="shared" si="3"/>
        <v>0</v>
      </c>
      <c r="J17" s="10">
        <f t="shared" si="3"/>
        <v>0</v>
      </c>
      <c r="K17" s="10">
        <f t="shared" si="3"/>
        <v>0</v>
      </c>
      <c r="L17" s="10">
        <f t="shared" si="3"/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  <c r="Q17" s="10">
        <f t="shared" si="3"/>
        <v>0</v>
      </c>
      <c r="R17" s="10">
        <f t="shared" si="3"/>
        <v>0</v>
      </c>
      <c r="S17" s="10">
        <f t="shared" si="3"/>
        <v>0</v>
      </c>
      <c r="T17" s="10">
        <f t="shared" si="3"/>
        <v>1</v>
      </c>
      <c r="U17" s="10">
        <f t="shared" si="3"/>
        <v>1</v>
      </c>
      <c r="V17" s="10">
        <f t="shared" si="3"/>
        <v>1</v>
      </c>
      <c r="W17" s="10">
        <f t="shared" si="3"/>
        <v>0</v>
      </c>
      <c r="X17" s="10">
        <f t="shared" si="3"/>
        <v>0</v>
      </c>
      <c r="Y17" s="10">
        <f>IF(Z19=".",Z17,ROUNDDOWN((Z17+Z18+Z19)/2,0))</f>
        <v>0</v>
      </c>
    </row>
    <row r="18" spans="6:33" x14ac:dyDescent="0.25">
      <c r="F18" s="13" t="s">
        <v>40</v>
      </c>
      <c r="G18" s="12" t="s">
        <v>27</v>
      </c>
      <c r="H18" s="8" t="str">
        <f>VLOOKUP($G18,$E$4:$Z$15,22-H$3,0)</f>
        <v>0</v>
      </c>
      <c r="I18" s="8" t="str">
        <f>VLOOKUP($G18,$E$4:$Z$15,22-I$3,0)</f>
        <v>0</v>
      </c>
      <c r="J18" s="8" t="str">
        <f t="shared" ref="J18:Z19" si="4">VLOOKUP($G18,$E$4:$Z$15,22-J$3,0)</f>
        <v>0</v>
      </c>
      <c r="K18" s="8" t="str">
        <f t="shared" si="4"/>
        <v>1</v>
      </c>
      <c r="L18" s="8" t="str">
        <f t="shared" si="4"/>
        <v>.</v>
      </c>
      <c r="M18" s="8" t="str">
        <f t="shared" si="4"/>
        <v>1</v>
      </c>
      <c r="N18" s="8" t="str">
        <f t="shared" si="4"/>
        <v>1</v>
      </c>
      <c r="O18" s="8" t="str">
        <f t="shared" si="4"/>
        <v>0</v>
      </c>
      <c r="P18" s="8" t="str">
        <f t="shared" si="4"/>
        <v>0</v>
      </c>
      <c r="Q18" s="8" t="str">
        <f t="shared" si="4"/>
        <v>.</v>
      </c>
      <c r="R18" s="8" t="str">
        <f t="shared" si="4"/>
        <v>1</v>
      </c>
      <c r="S18" s="8" t="str">
        <f t="shared" si="4"/>
        <v>1</v>
      </c>
      <c r="T18" s="8" t="str">
        <f t="shared" si="4"/>
        <v>0</v>
      </c>
      <c r="U18" s="8" t="str">
        <f t="shared" si="4"/>
        <v>1</v>
      </c>
      <c r="V18" s="8" t="str">
        <f t="shared" si="4"/>
        <v>.</v>
      </c>
      <c r="W18" s="8" t="str">
        <f t="shared" si="4"/>
        <v>1</v>
      </c>
      <c r="X18" s="8" t="str">
        <f t="shared" si="4"/>
        <v>1</v>
      </c>
      <c r="Y18" s="8" t="str">
        <f t="shared" si="4"/>
        <v>0</v>
      </c>
      <c r="Z18" s="8" t="str">
        <f t="shared" si="4"/>
        <v>1</v>
      </c>
      <c r="AC18" s="13" t="s">
        <v>40</v>
      </c>
      <c r="AD18" s="9" t="s">
        <v>2</v>
      </c>
      <c r="AE18">
        <f>VLOOKUP(AD18,$A$4:$C$15,3,0)</f>
        <v>7389</v>
      </c>
    </row>
    <row r="19" spans="6:33" x14ac:dyDescent="0.25">
      <c r="F19" s="13"/>
      <c r="G19" s="12" t="s">
        <v>29</v>
      </c>
      <c r="H19" s="8" t="str">
        <f t="shared" ref="H19:I19" si="5">VLOOKUP($G19,$E$4:$Z$15,22-H$3,0)</f>
        <v>0</v>
      </c>
      <c r="I19" s="8" t="str">
        <f t="shared" si="5"/>
        <v>1</v>
      </c>
      <c r="J19" s="8" t="str">
        <f t="shared" si="4"/>
        <v>0</v>
      </c>
      <c r="K19" s="8" t="str">
        <f>VLOOKUP($G19,$E$4:$Z$15,22-K$3,0)</f>
        <v>0</v>
      </c>
      <c r="L19" s="8" t="str">
        <f>VLOOKUP($G19,$E$4:$Z$15,22-L$3,0)</f>
        <v>.</v>
      </c>
      <c r="M19" s="8" t="str">
        <f>VLOOKUP($G19,$E$4:$Z$15,22-M$3,0)</f>
        <v>0</v>
      </c>
      <c r="N19" s="8" t="str">
        <f t="shared" si="4"/>
        <v>0</v>
      </c>
      <c r="O19" s="8" t="str">
        <f t="shared" si="4"/>
        <v>1</v>
      </c>
      <c r="P19" s="8" t="str">
        <f t="shared" si="4"/>
        <v>1</v>
      </c>
      <c r="Q19" s="8" t="str">
        <f t="shared" si="4"/>
        <v>.</v>
      </c>
      <c r="R19" s="8" t="str">
        <f t="shared" si="4"/>
        <v>0</v>
      </c>
      <c r="S19" s="8" t="str">
        <f t="shared" si="4"/>
        <v>0</v>
      </c>
      <c r="T19" s="8" t="str">
        <f t="shared" si="4"/>
        <v>0</v>
      </c>
      <c r="U19" s="8" t="str">
        <f t="shared" si="4"/>
        <v>1</v>
      </c>
      <c r="V19" s="8" t="str">
        <f t="shared" si="4"/>
        <v>.</v>
      </c>
      <c r="W19" s="8" t="str">
        <f t="shared" si="4"/>
        <v>1</v>
      </c>
      <c r="X19" s="8" t="str">
        <f t="shared" si="4"/>
        <v>0</v>
      </c>
      <c r="Y19" s="8" t="str">
        <f t="shared" si="4"/>
        <v>1</v>
      </c>
      <c r="Z19" s="8" t="str">
        <f t="shared" si="4"/>
        <v>0</v>
      </c>
      <c r="AC19" s="13"/>
      <c r="AD19" s="9" t="s">
        <v>4</v>
      </c>
      <c r="AE19">
        <f>VLOOKUP(AD19,$A$4:$C$15,3,0)</f>
        <v>17178</v>
      </c>
    </row>
    <row r="20" spans="6:33" x14ac:dyDescent="0.25">
      <c r="G20" s="12"/>
      <c r="H20" s="8">
        <f t="shared" ref="H20:X20" si="6">IF(H19=".",H19,MOD(H17+H18+H19,2))</f>
        <v>0</v>
      </c>
      <c r="I20" s="8">
        <f t="shared" si="6"/>
        <v>1</v>
      </c>
      <c r="J20" s="8">
        <f t="shared" si="6"/>
        <v>0</v>
      </c>
      <c r="K20" s="8">
        <f t="shared" si="6"/>
        <v>1</v>
      </c>
      <c r="L20" s="8" t="str">
        <f t="shared" si="6"/>
        <v>.</v>
      </c>
      <c r="M20" s="8">
        <f t="shared" si="6"/>
        <v>1</v>
      </c>
      <c r="N20" s="8">
        <f t="shared" si="6"/>
        <v>1</v>
      </c>
      <c r="O20" s="8">
        <f t="shared" si="6"/>
        <v>1</v>
      </c>
      <c r="P20" s="8">
        <f t="shared" si="6"/>
        <v>1</v>
      </c>
      <c r="Q20" s="8" t="str">
        <f t="shared" si="6"/>
        <v>.</v>
      </c>
      <c r="R20" s="8">
        <f t="shared" si="6"/>
        <v>1</v>
      </c>
      <c r="S20" s="8">
        <f t="shared" si="6"/>
        <v>1</v>
      </c>
      <c r="T20" s="8">
        <f t="shared" si="6"/>
        <v>1</v>
      </c>
      <c r="U20" s="8">
        <f t="shared" si="6"/>
        <v>1</v>
      </c>
      <c r="V20" s="8" t="str">
        <f t="shared" si="6"/>
        <v>.</v>
      </c>
      <c r="W20" s="8">
        <f t="shared" si="6"/>
        <v>0</v>
      </c>
      <c r="X20" s="8">
        <f t="shared" si="6"/>
        <v>1</v>
      </c>
      <c r="Y20" s="8">
        <f>IF(Y19=".",Y19,MOD(Y17+Y18+Y19,2))</f>
        <v>1</v>
      </c>
      <c r="Z20" s="8">
        <f>IF(Z19=".",Z19,MOD(Z17+Z18+Z19,2))</f>
        <v>1</v>
      </c>
      <c r="AA20" s="8" t="s">
        <v>28</v>
      </c>
      <c r="AB20" s="8">
        <f>IF(H20=1,_xlfn.DECIMAL(H20&amp;I20&amp;J20&amp;K20&amp;M20&amp;N20&amp;O20&amp;P20&amp;R20&amp;S20&amp;T20&amp;U20&amp;W20&amp;X20&amp;Y20&amp;Z20,2)-65536,_xlfn.DECIMAL(H20&amp;I20&amp;J20&amp;K20&amp;M20&amp;N20&amp;O20&amp;P20&amp;R20&amp;S20&amp;T20&amp;U20&amp;W20&amp;X20&amp;Y20&amp;Z20,2))</f>
        <v>24567</v>
      </c>
      <c r="AE20" s="8">
        <f>AE18+AE19</f>
        <v>24567</v>
      </c>
    </row>
    <row r="21" spans="6:33" x14ac:dyDescent="0.25">
      <c r="G21" s="12" t="str">
        <f>IF(H20=1,"Из доп кода","")</f>
        <v/>
      </c>
      <c r="H21" s="8"/>
      <c r="Y21" s="8"/>
    </row>
    <row r="22" spans="6:33" x14ac:dyDescent="0.25">
      <c r="G22" s="12"/>
      <c r="H22" s="8"/>
      <c r="I22" t="s">
        <v>41</v>
      </c>
      <c r="J22" s="8">
        <f>IF(H17+H18+H19&gt;1,1,0)</f>
        <v>0</v>
      </c>
      <c r="K22" t="s">
        <v>42</v>
      </c>
      <c r="L22" s="8">
        <f>1-MOD(SUM(R20:U20)+SUM(W20:Z20),2)</f>
        <v>0</v>
      </c>
      <c r="M22" t="s">
        <v>43</v>
      </c>
      <c r="N22" s="8">
        <f>V17</f>
        <v>1</v>
      </c>
      <c r="O22" t="s">
        <v>44</v>
      </c>
      <c r="P22" s="8">
        <f>IF(AB20=0,1,0)</f>
        <v>0</v>
      </c>
      <c r="Q22" t="s">
        <v>46</v>
      </c>
      <c r="R22" t="s">
        <v>45</v>
      </c>
      <c r="S22" s="8">
        <f>H20</f>
        <v>0</v>
      </c>
      <c r="T22" t="s">
        <v>47</v>
      </c>
      <c r="U22" s="8">
        <f>IF(H18+H19=H20,0,1)</f>
        <v>0</v>
      </c>
      <c r="Y22" s="8"/>
      <c r="AF22" t="str">
        <f>IF(AND(VALUE(H18)=0,VALUE(H19)=0,AB20=AE20),$AA$2,IF(AND(VALUE(H18)=1,VALUE(H19)=1,AB20=AE20),$AA$3,IF(AND(OR(AND(VALUE(H18)=0,VALUE(H19)=1),AND(VALUE(H18)=1,VALUE(H19)=0)),VALUE(H20)=0),$AA$4,IF(AND(OR(AND(VALUE(H18)=0,VALUE(H19)=1),AND(VALUE(H18)=1,VALUE(H19)=0)),VALUE(H20)=1),$AA$5,IF(AND(VALUE(H18)=0,VALUE(H19)=0,VALUE(U22)=1),$AA$6,IF(AND(VALUE(H18)=1,VALUE(H19)=1,VALUE(U22)=1),$AA$7,0))))))</f>
        <v>При сложении двух положительных слагаемых получено положительное число. Результат выполнения операции верный и корректный, совпадает с суммой десятичных эквивалентов.</v>
      </c>
    </row>
    <row r="23" spans="6:33" x14ac:dyDescent="0.25">
      <c r="G23" s="12"/>
      <c r="H23" s="8"/>
      <c r="Y23" s="8"/>
      <c r="AF23" s="7"/>
      <c r="AG23" s="7"/>
    </row>
    <row r="24" spans="6:33" x14ac:dyDescent="0.25">
      <c r="G24" s="12"/>
      <c r="H24" s="10">
        <f t="shared" ref="H24:Y24" si="7">IF(I26=".",I24,ROUNDDOWN((I24+I25+I26)/2,0))</f>
        <v>1</v>
      </c>
      <c r="I24" s="10">
        <f t="shared" si="7"/>
        <v>0</v>
      </c>
      <c r="J24" s="10">
        <f t="shared" si="7"/>
        <v>1</v>
      </c>
      <c r="K24" s="10">
        <f t="shared" si="7"/>
        <v>1</v>
      </c>
      <c r="L24" s="10">
        <f t="shared" si="7"/>
        <v>1</v>
      </c>
      <c r="M24" s="10">
        <f t="shared" si="7"/>
        <v>1</v>
      </c>
      <c r="N24" s="10">
        <f t="shared" si="7"/>
        <v>1</v>
      </c>
      <c r="O24" s="10">
        <f t="shared" si="7"/>
        <v>1</v>
      </c>
      <c r="P24" s="10">
        <f t="shared" si="7"/>
        <v>1</v>
      </c>
      <c r="Q24" s="10">
        <f t="shared" si="7"/>
        <v>1</v>
      </c>
      <c r="R24" s="10">
        <f t="shared" si="7"/>
        <v>1</v>
      </c>
      <c r="S24" s="10">
        <f t="shared" si="7"/>
        <v>1</v>
      </c>
      <c r="T24" s="10">
        <f t="shared" si="7"/>
        <v>1</v>
      </c>
      <c r="U24" s="10">
        <f t="shared" si="7"/>
        <v>1</v>
      </c>
      <c r="V24" s="10">
        <f t="shared" si="7"/>
        <v>1</v>
      </c>
      <c r="W24" s="10">
        <f t="shared" si="7"/>
        <v>1</v>
      </c>
      <c r="X24" s="10">
        <f t="shared" si="7"/>
        <v>1</v>
      </c>
      <c r="Y24" s="10">
        <f t="shared" si="7"/>
        <v>0</v>
      </c>
    </row>
    <row r="25" spans="6:33" x14ac:dyDescent="0.25">
      <c r="F25" s="13" t="s">
        <v>40</v>
      </c>
      <c r="G25" s="12" t="s">
        <v>29</v>
      </c>
      <c r="H25" s="8" t="str">
        <f t="shared" ref="H25:W26" si="8">VLOOKUP($G25,$E$4:$Z$15,22-H$3,0)</f>
        <v>0</v>
      </c>
      <c r="I25" s="8" t="str">
        <f t="shared" si="8"/>
        <v>1</v>
      </c>
      <c r="J25" s="8" t="str">
        <f t="shared" si="8"/>
        <v>0</v>
      </c>
      <c r="K25" s="8" t="str">
        <f t="shared" si="8"/>
        <v>0</v>
      </c>
      <c r="L25" s="8" t="str">
        <f t="shared" si="8"/>
        <v>.</v>
      </c>
      <c r="M25" s="8" t="str">
        <f t="shared" si="8"/>
        <v>0</v>
      </c>
      <c r="N25" s="8" t="str">
        <f t="shared" si="8"/>
        <v>0</v>
      </c>
      <c r="O25" s="8" t="str">
        <f t="shared" si="8"/>
        <v>1</v>
      </c>
      <c r="P25" s="8" t="str">
        <f t="shared" si="8"/>
        <v>1</v>
      </c>
      <c r="Q25" s="8" t="str">
        <f t="shared" si="8"/>
        <v>.</v>
      </c>
      <c r="R25" s="8" t="str">
        <f t="shared" si="8"/>
        <v>0</v>
      </c>
      <c r="S25" s="8" t="str">
        <f t="shared" si="8"/>
        <v>0</v>
      </c>
      <c r="T25" s="8" t="str">
        <f t="shared" si="8"/>
        <v>0</v>
      </c>
      <c r="U25" s="8" t="str">
        <f t="shared" si="8"/>
        <v>1</v>
      </c>
      <c r="V25" s="8" t="str">
        <f t="shared" si="8"/>
        <v>.</v>
      </c>
      <c r="W25" s="8" t="str">
        <f t="shared" si="8"/>
        <v>1</v>
      </c>
      <c r="X25" s="8" t="str">
        <f t="shared" ref="X25:Z26" si="9">VLOOKUP($G25,$E$4:$Z$15,22-X$3,0)</f>
        <v>0</v>
      </c>
      <c r="Y25" s="8" t="str">
        <f t="shared" si="9"/>
        <v>1</v>
      </c>
      <c r="Z25" s="8" t="str">
        <f t="shared" si="9"/>
        <v>0</v>
      </c>
      <c r="AC25" s="13" t="s">
        <v>40</v>
      </c>
      <c r="AD25" t="s">
        <v>6</v>
      </c>
      <c r="AE25">
        <f>VLOOKUP(AD25,$A$4:$C$15,3,0)</f>
        <v>24567</v>
      </c>
    </row>
    <row r="26" spans="6:33" x14ac:dyDescent="0.25">
      <c r="F26" s="13"/>
      <c r="G26" s="12" t="s">
        <v>30</v>
      </c>
      <c r="H26" s="8" t="str">
        <f t="shared" si="8"/>
        <v>0</v>
      </c>
      <c r="I26" s="8" t="str">
        <f t="shared" si="8"/>
        <v>1</v>
      </c>
      <c r="J26" s="8" t="str">
        <f t="shared" si="8"/>
        <v>0</v>
      </c>
      <c r="K26" s="8" t="str">
        <f t="shared" si="8"/>
        <v>1</v>
      </c>
      <c r="L26" s="8" t="str">
        <f t="shared" si="8"/>
        <v>.</v>
      </c>
      <c r="M26" s="8" t="str">
        <f t="shared" si="8"/>
        <v>1</v>
      </c>
      <c r="N26" s="8" t="str">
        <f t="shared" si="8"/>
        <v>1</v>
      </c>
      <c r="O26" s="8" t="str">
        <f t="shared" si="8"/>
        <v>1</v>
      </c>
      <c r="P26" s="8" t="str">
        <f t="shared" si="8"/>
        <v>1</v>
      </c>
      <c r="Q26" s="8" t="str">
        <f t="shared" si="8"/>
        <v>.</v>
      </c>
      <c r="R26" s="8" t="str">
        <f t="shared" si="8"/>
        <v>1</v>
      </c>
      <c r="S26" s="8" t="str">
        <f t="shared" si="8"/>
        <v>1</v>
      </c>
      <c r="T26" s="8" t="str">
        <f t="shared" si="8"/>
        <v>1</v>
      </c>
      <c r="U26" s="8" t="str">
        <f t="shared" si="8"/>
        <v>1</v>
      </c>
      <c r="V26" s="8" t="str">
        <f t="shared" si="8"/>
        <v>.</v>
      </c>
      <c r="W26" s="8" t="str">
        <f t="shared" si="8"/>
        <v>0</v>
      </c>
      <c r="X26" s="8" t="str">
        <f t="shared" si="9"/>
        <v>1</v>
      </c>
      <c r="Y26" s="8" t="str">
        <f t="shared" si="9"/>
        <v>1</v>
      </c>
      <c r="Z26" s="8" t="str">
        <f t="shared" si="9"/>
        <v>1</v>
      </c>
      <c r="AC26" s="13"/>
      <c r="AD26" t="s">
        <v>4</v>
      </c>
      <c r="AE26">
        <f>VLOOKUP(AD26,$A$4:$C$15,3,0)</f>
        <v>17178</v>
      </c>
    </row>
    <row r="27" spans="6:33" x14ac:dyDescent="0.25">
      <c r="G27" s="12"/>
      <c r="H27" s="8">
        <f t="shared" ref="H27" si="10">IF(H26=".",H26,MOD(H24+H25+H26,2))</f>
        <v>1</v>
      </c>
      <c r="I27" s="8">
        <f t="shared" ref="I27" si="11">IF(I26=".",I26,MOD(I24+I25+I26,2))</f>
        <v>0</v>
      </c>
      <c r="J27" s="8">
        <f t="shared" ref="J27" si="12">IF(J26=".",J26,MOD(J24+J25+J26,2))</f>
        <v>1</v>
      </c>
      <c r="K27" s="8">
        <f t="shared" ref="K27" si="13">IF(K26=".",K26,MOD(K24+K25+K26,2))</f>
        <v>0</v>
      </c>
      <c r="L27" s="8" t="str">
        <f t="shared" ref="L27" si="14">IF(L26=".",L26,MOD(L24+L25+L26,2))</f>
        <v>.</v>
      </c>
      <c r="M27" s="8">
        <f t="shared" ref="M27" si="15">IF(M26=".",M26,MOD(M24+M25+M26,2))</f>
        <v>0</v>
      </c>
      <c r="N27" s="8">
        <f t="shared" ref="N27" si="16">IF(N26=".",N26,MOD(N24+N25+N26,2))</f>
        <v>0</v>
      </c>
      <c r="O27" s="8">
        <f t="shared" ref="O27" si="17">IF(O26=".",O26,MOD(O24+O25+O26,2))</f>
        <v>1</v>
      </c>
      <c r="P27" s="8">
        <f t="shared" ref="P27" si="18">IF(P26=".",P26,MOD(P24+P25+P26,2))</f>
        <v>1</v>
      </c>
      <c r="Q27" s="8" t="str">
        <f t="shared" ref="Q27" si="19">IF(Q26=".",Q26,MOD(Q24+Q25+Q26,2))</f>
        <v>.</v>
      </c>
      <c r="R27" s="8">
        <f t="shared" ref="R27" si="20">IF(R26=".",R26,MOD(R24+R25+R26,2))</f>
        <v>0</v>
      </c>
      <c r="S27" s="8">
        <f t="shared" ref="S27" si="21">IF(S26=".",S26,MOD(S24+S25+S26,2))</f>
        <v>0</v>
      </c>
      <c r="T27" s="8">
        <f t="shared" ref="T27" si="22">IF(T26=".",T26,MOD(T24+T25+T26,2))</f>
        <v>0</v>
      </c>
      <c r="U27" s="8">
        <f t="shared" ref="U27" si="23">IF(U26=".",U26,MOD(U24+U25+U26,2))</f>
        <v>1</v>
      </c>
      <c r="V27" s="8" t="str">
        <f t="shared" ref="V27" si="24">IF(V26=".",V26,MOD(V24+V25+V26,2))</f>
        <v>.</v>
      </c>
      <c r="W27" s="8">
        <f t="shared" ref="W27" si="25">IF(W26=".",W26,MOD(W24+W25+W26,2))</f>
        <v>0</v>
      </c>
      <c r="X27" s="8">
        <f t="shared" ref="X27" si="26">IF(X26=".",X26,MOD(X24+X25+X26,2))</f>
        <v>0</v>
      </c>
      <c r="Y27" s="8">
        <f t="shared" ref="Y27:Z27" si="27">IF(Y26=".",Y26,MOD(Y24+Y25+Y26,2))</f>
        <v>0</v>
      </c>
      <c r="Z27" s="8">
        <f t="shared" si="27"/>
        <v>1</v>
      </c>
      <c r="AA27" t="s">
        <v>28</v>
      </c>
      <c r="AB27">
        <f>IF(H27=1,_xlfn.DECIMAL(H27&amp;I27&amp;J27&amp;K27&amp;M27&amp;N27&amp;O27&amp;P27&amp;R27&amp;S27&amp;T27&amp;U27&amp;W27&amp;X27&amp;Y27&amp;Z27,2)-65536,_xlfn.DECIMAL(H27&amp;I27&amp;J27&amp;K27&amp;M27&amp;N27&amp;O27&amp;P27&amp;R27&amp;S27&amp;T27&amp;U27&amp;W27&amp;X27&amp;Y27&amp;Z27,2))</f>
        <v>-23791</v>
      </c>
      <c r="AE27">
        <f>AE25+AE26</f>
        <v>41745</v>
      </c>
    </row>
    <row r="28" spans="6:33" x14ac:dyDescent="0.25">
      <c r="G28" s="12"/>
    </row>
    <row r="29" spans="6:33" x14ac:dyDescent="0.25">
      <c r="G29" s="12"/>
      <c r="I29" t="s">
        <v>41</v>
      </c>
      <c r="J29">
        <f>IF(H24+H25+H26&gt;1,1,0)</f>
        <v>0</v>
      </c>
      <c r="K29" t="s">
        <v>42</v>
      </c>
      <c r="L29">
        <f>1-MOD(SUM(R27:U27)+SUM(W27:Z27),2)</f>
        <v>1</v>
      </c>
      <c r="M29" t="s">
        <v>43</v>
      </c>
      <c r="N29">
        <f>V24</f>
        <v>1</v>
      </c>
      <c r="O29" t="s">
        <v>44</v>
      </c>
      <c r="P29">
        <f>IF(AB27=0,1,0)</f>
        <v>0</v>
      </c>
      <c r="Q29" t="s">
        <v>46</v>
      </c>
      <c r="R29" t="s">
        <v>45</v>
      </c>
      <c r="S29">
        <f>H27</f>
        <v>1</v>
      </c>
      <c r="T29" t="s">
        <v>47</v>
      </c>
      <c r="U29">
        <f>IF(H25+H26=H27,0,1)</f>
        <v>1</v>
      </c>
      <c r="AF29" t="str">
        <f>IF(AND(VALUE(H25)=0,VALUE(H26)=0,AB27=AE27),$AA$2,IF(AND(VALUE(H25)=1,VALUE(H26)=1,AB27=AE27),$AA$3,IF(AND(OR(AND(VALUE(H25)=0,VALUE(H26)=1),AND(VALUE(H25)=1,VALUE(H26)=0)),VALUE(H27)=0),$AA$4,IF(AND(OR(AND(VALUE(H25)=0,VALUE(H26)=1),AND(VALUE(H25)=1,VALUE(H26)=0)),VALUE(H27)=1),$AA$5,IF(AND(VALUE(H25)=0,VALUE(H26)=0,VALUE(U29)=1),$AA$6,IF(AND(VALUE(H25)=1,VALUE(H26)=1,VALUE(U29)=1),$AA$7,0))))))</f>
        <v>При сложении двух положительных слагаемых получено отрицательное число. Результат выполнения операции неверный в ходе возникновения переполнения,не совпадает с суммой десятичных эквивалентов.</v>
      </c>
    </row>
    <row r="30" spans="6:33" x14ac:dyDescent="0.25">
      <c r="G30" s="12"/>
    </row>
    <row r="31" spans="6:33" x14ac:dyDescent="0.25">
      <c r="F31" s="8"/>
      <c r="G31" s="12"/>
      <c r="H31" s="11">
        <f t="shared" ref="H31:Y31" si="28">IF(I33=".",I31,ROUNDDOWN((I31+I32+I33)/2,0))</f>
        <v>1</v>
      </c>
      <c r="I31" s="11">
        <f t="shared" si="28"/>
        <v>0</v>
      </c>
      <c r="J31" s="11">
        <f t="shared" si="28"/>
        <v>0</v>
      </c>
      <c r="K31" s="11">
        <f t="shared" si="28"/>
        <v>0</v>
      </c>
      <c r="L31" s="11">
        <f t="shared" si="28"/>
        <v>0</v>
      </c>
      <c r="M31" s="11">
        <f t="shared" si="28"/>
        <v>0</v>
      </c>
      <c r="N31" s="11">
        <f t="shared" si="28"/>
        <v>1</v>
      </c>
      <c r="O31" s="11">
        <f t="shared" si="28"/>
        <v>1</v>
      </c>
      <c r="P31" s="11">
        <f t="shared" si="28"/>
        <v>0</v>
      </c>
      <c r="Q31" s="11">
        <f t="shared" si="28"/>
        <v>0</v>
      </c>
      <c r="R31" s="11">
        <f t="shared" si="28"/>
        <v>0</v>
      </c>
      <c r="S31" s="11">
        <f t="shared" si="28"/>
        <v>0</v>
      </c>
      <c r="T31" s="11">
        <f t="shared" si="28"/>
        <v>0</v>
      </c>
      <c r="U31" s="11">
        <f t="shared" si="28"/>
        <v>0</v>
      </c>
      <c r="V31" s="11">
        <f t="shared" si="28"/>
        <v>0</v>
      </c>
      <c r="W31" s="11">
        <f t="shared" si="28"/>
        <v>0</v>
      </c>
      <c r="X31" s="11">
        <f t="shared" si="28"/>
        <v>1</v>
      </c>
      <c r="Y31" s="11">
        <f t="shared" si="28"/>
        <v>0</v>
      </c>
      <c r="Z31" s="8"/>
      <c r="AA31" s="8"/>
    </row>
    <row r="32" spans="6:33" x14ac:dyDescent="0.25">
      <c r="F32" s="13" t="s">
        <v>40</v>
      </c>
      <c r="G32" s="12" t="s">
        <v>34</v>
      </c>
      <c r="H32" s="8" t="str">
        <f t="shared" ref="H32:W33" si="29">VLOOKUP($G32,$E$4:$Z$15,22-H$3,0)</f>
        <v>1</v>
      </c>
      <c r="I32" s="8" t="str">
        <f t="shared" si="29"/>
        <v>1</v>
      </c>
      <c r="J32" s="8" t="str">
        <f t="shared" si="29"/>
        <v>1</v>
      </c>
      <c r="K32" s="8" t="str">
        <f t="shared" si="29"/>
        <v>0</v>
      </c>
      <c r="L32" s="8" t="str">
        <f t="shared" si="29"/>
        <v>.</v>
      </c>
      <c r="M32" s="8" t="str">
        <f t="shared" si="29"/>
        <v>0</v>
      </c>
      <c r="N32" s="8" t="str">
        <f t="shared" si="29"/>
        <v>0</v>
      </c>
      <c r="O32" s="8" t="str">
        <f t="shared" si="29"/>
        <v>1</v>
      </c>
      <c r="P32" s="8" t="str">
        <f t="shared" si="29"/>
        <v>1</v>
      </c>
      <c r="Q32" s="8" t="str">
        <f t="shared" si="29"/>
        <v>.</v>
      </c>
      <c r="R32" s="8" t="str">
        <f t="shared" si="29"/>
        <v>0</v>
      </c>
      <c r="S32" s="8" t="str">
        <f t="shared" si="29"/>
        <v>0</v>
      </c>
      <c r="T32" s="8" t="str">
        <f t="shared" si="29"/>
        <v>1</v>
      </c>
      <c r="U32" s="8" t="str">
        <f t="shared" si="29"/>
        <v>0</v>
      </c>
      <c r="V32" s="8" t="str">
        <f t="shared" si="29"/>
        <v>.</v>
      </c>
      <c r="W32" s="8" t="str">
        <f t="shared" si="29"/>
        <v>0</v>
      </c>
      <c r="X32" s="8" t="str">
        <f t="shared" ref="X32:Z33" si="30">VLOOKUP($G32,$E$4:$Z$15,22-X$3,0)</f>
        <v>0</v>
      </c>
      <c r="Y32" s="8" t="str">
        <f t="shared" si="30"/>
        <v>1</v>
      </c>
      <c r="Z32" s="8" t="str">
        <f t="shared" si="30"/>
        <v>1</v>
      </c>
      <c r="AA32" s="8"/>
      <c r="AC32" s="13" t="s">
        <v>40</v>
      </c>
      <c r="AD32" t="s">
        <v>14</v>
      </c>
      <c r="AE32">
        <f>VLOOKUP(AD32,$A$4:$C$15,3,0)</f>
        <v>-7389</v>
      </c>
    </row>
    <row r="33" spans="6:32" x14ac:dyDescent="0.25">
      <c r="F33" s="13"/>
      <c r="G33" s="12" t="s">
        <v>29</v>
      </c>
      <c r="H33" s="8" t="str">
        <f t="shared" si="29"/>
        <v>0</v>
      </c>
      <c r="I33" s="8" t="str">
        <f t="shared" si="29"/>
        <v>1</v>
      </c>
      <c r="J33" s="8" t="str">
        <f t="shared" si="29"/>
        <v>0</v>
      </c>
      <c r="K33" s="8" t="str">
        <f t="shared" si="29"/>
        <v>0</v>
      </c>
      <c r="L33" s="8" t="str">
        <f t="shared" si="29"/>
        <v>.</v>
      </c>
      <c r="M33" s="8" t="str">
        <f t="shared" si="29"/>
        <v>0</v>
      </c>
      <c r="N33" s="8" t="str">
        <f t="shared" si="29"/>
        <v>0</v>
      </c>
      <c r="O33" s="8" t="str">
        <f t="shared" si="29"/>
        <v>1</v>
      </c>
      <c r="P33" s="8" t="str">
        <f t="shared" si="29"/>
        <v>1</v>
      </c>
      <c r="Q33" s="8" t="str">
        <f t="shared" si="29"/>
        <v>.</v>
      </c>
      <c r="R33" s="8" t="str">
        <f t="shared" si="29"/>
        <v>0</v>
      </c>
      <c r="S33" s="8" t="str">
        <f t="shared" si="29"/>
        <v>0</v>
      </c>
      <c r="T33" s="8" t="str">
        <f t="shared" si="29"/>
        <v>0</v>
      </c>
      <c r="U33" s="8" t="str">
        <f t="shared" si="29"/>
        <v>1</v>
      </c>
      <c r="V33" s="8" t="str">
        <f t="shared" si="29"/>
        <v>.</v>
      </c>
      <c r="W33" s="8" t="str">
        <f t="shared" si="29"/>
        <v>1</v>
      </c>
      <c r="X33" s="8" t="str">
        <f t="shared" si="30"/>
        <v>0</v>
      </c>
      <c r="Y33" s="8" t="str">
        <f t="shared" si="30"/>
        <v>1</v>
      </c>
      <c r="Z33" s="8" t="str">
        <f t="shared" si="30"/>
        <v>0</v>
      </c>
      <c r="AA33" s="8"/>
      <c r="AC33" s="13"/>
      <c r="AD33" t="s">
        <v>4</v>
      </c>
      <c r="AE33">
        <f>VLOOKUP(AD33,$A$4:$C$15,3,0)</f>
        <v>17178</v>
      </c>
    </row>
    <row r="34" spans="6:32" x14ac:dyDescent="0.25">
      <c r="F34" s="8"/>
      <c r="G34" s="12"/>
      <c r="H34" s="8">
        <f t="shared" ref="H34" si="31">IF(H33=".",H33,MOD(H31+H32+H33,2))</f>
        <v>0</v>
      </c>
      <c r="I34" s="8">
        <f t="shared" ref="I34" si="32">IF(I33=".",I33,MOD(I31+I32+I33,2))</f>
        <v>0</v>
      </c>
      <c r="J34" s="8">
        <f t="shared" ref="J34" si="33">IF(J33=".",J33,MOD(J31+J32+J33,2))</f>
        <v>1</v>
      </c>
      <c r="K34" s="8">
        <f t="shared" ref="K34" si="34">IF(K33=".",K33,MOD(K31+K32+K33,2))</f>
        <v>0</v>
      </c>
      <c r="L34" s="8" t="str">
        <f t="shared" ref="L34" si="35">IF(L33=".",L33,MOD(L31+L32+L33,2))</f>
        <v>.</v>
      </c>
      <c r="M34" s="8">
        <f t="shared" ref="M34" si="36">IF(M33=".",M33,MOD(M31+M32+M33,2))</f>
        <v>0</v>
      </c>
      <c r="N34" s="8">
        <f t="shared" ref="N34" si="37">IF(N33=".",N33,MOD(N31+N32+N33,2))</f>
        <v>1</v>
      </c>
      <c r="O34" s="8">
        <f t="shared" ref="O34" si="38">IF(O33=".",O33,MOD(O31+O32+O33,2))</f>
        <v>1</v>
      </c>
      <c r="P34" s="8">
        <f t="shared" ref="P34" si="39">IF(P33=".",P33,MOD(P31+P32+P33,2))</f>
        <v>0</v>
      </c>
      <c r="Q34" s="8" t="str">
        <f t="shared" ref="Q34" si="40">IF(Q33=".",Q33,MOD(Q31+Q32+Q33,2))</f>
        <v>.</v>
      </c>
      <c r="R34" s="8">
        <f t="shared" ref="R34" si="41">IF(R33=".",R33,MOD(R31+R32+R33,2))</f>
        <v>0</v>
      </c>
      <c r="S34" s="8">
        <f t="shared" ref="S34" si="42">IF(S33=".",S33,MOD(S31+S32+S33,2))</f>
        <v>0</v>
      </c>
      <c r="T34" s="8">
        <f t="shared" ref="T34" si="43">IF(T33=".",T33,MOD(T31+T32+T33,2))</f>
        <v>1</v>
      </c>
      <c r="U34" s="8">
        <f t="shared" ref="U34" si="44">IF(U33=".",U33,MOD(U31+U32+U33,2))</f>
        <v>1</v>
      </c>
      <c r="V34" s="8" t="str">
        <f t="shared" ref="V34" si="45">IF(V33=".",V33,MOD(V31+V32+V33,2))</f>
        <v>.</v>
      </c>
      <c r="W34" s="8">
        <f t="shared" ref="W34" si="46">IF(W33=".",W33,MOD(W31+W32+W33,2))</f>
        <v>1</v>
      </c>
      <c r="X34" s="8">
        <f t="shared" ref="X34" si="47">IF(X33=".",X33,MOD(X31+X32+X33,2))</f>
        <v>1</v>
      </c>
      <c r="Y34" s="8">
        <f t="shared" ref="Y34" si="48">IF(Y33=".",Y33,MOD(Y31+Y32+Y33,2))</f>
        <v>0</v>
      </c>
      <c r="Z34" s="8">
        <f t="shared" ref="Z34" si="49">IF(Z33=".",Z33,MOD(Z31+Z32+Z33,2))</f>
        <v>1</v>
      </c>
      <c r="AA34" s="8" t="s">
        <v>28</v>
      </c>
      <c r="AB34">
        <f>IF(H34=1,_xlfn.DECIMAL(H34&amp;I34&amp;J34&amp;K34&amp;M34&amp;N34&amp;O34&amp;P34&amp;R34&amp;S34&amp;T34&amp;U34&amp;W34&amp;X34&amp;Y34&amp;Z34,2)-65536,_xlfn.DECIMAL(H34&amp;I34&amp;J34&amp;K34&amp;M34&amp;N34&amp;O34&amp;P34&amp;R34&amp;S34&amp;T34&amp;U34&amp;W34&amp;X34&amp;Y34&amp;Z34,2))</f>
        <v>9789</v>
      </c>
      <c r="AE34">
        <f>AE32+AE33</f>
        <v>9789</v>
      </c>
    </row>
    <row r="35" spans="6:32" x14ac:dyDescent="0.25">
      <c r="G35" s="12"/>
    </row>
    <row r="36" spans="6:32" x14ac:dyDescent="0.25">
      <c r="G36" s="12"/>
      <c r="I36" t="s">
        <v>41</v>
      </c>
      <c r="J36">
        <f>IF(H31+H32+H33&gt;1,1,0)</f>
        <v>1</v>
      </c>
      <c r="K36" t="s">
        <v>42</v>
      </c>
      <c r="L36">
        <f>1-MOD(SUM(R34:U34)+SUM(W34:Z34),2)</f>
        <v>0</v>
      </c>
      <c r="M36" t="s">
        <v>43</v>
      </c>
      <c r="N36">
        <f>V31</f>
        <v>0</v>
      </c>
      <c r="O36" t="s">
        <v>44</v>
      </c>
      <c r="P36">
        <f>IF(AB34=0,1,0)</f>
        <v>0</v>
      </c>
      <c r="Q36" t="s">
        <v>46</v>
      </c>
      <c r="R36" t="s">
        <v>45</v>
      </c>
      <c r="S36">
        <f>H34</f>
        <v>0</v>
      </c>
      <c r="T36" t="s">
        <v>47</v>
      </c>
      <c r="U36">
        <f>IF(H32+H33=H34,0,1)</f>
        <v>1</v>
      </c>
      <c r="AF36" t="str">
        <f>IF(AND(VALUE(H32)=0,VALUE(H33)=0,AB34=AE34),$AA$2,IF(AND(VALUE(H32)=1,VALUE(H33)=1,AB34=AE34),$AA$3,IF(AND(OR(AND(VALUE(H32)=0,VALUE(H33)=1),AND(VALUE(H32)=1,VALUE(H33)=0)),VALUE(H34)=0),$AA$4,IF(AND(OR(AND(VALUE(H32)=0,VALUE(H33)=1),AND(VALUE(H32)=1,VALUE(H33)=0)),VALUE(H34)=1),$AA$5,IF(AND(VALUE(H32)=0,VALUE(H33)=0,VALUE(U36)=1),$AA$6,IF(AND(VALUE(H32)=1,VALUE(H33)=1,VALUE(U36)=1),$AA$7,0))))))</f>
        <v>При сложении положительного и отрицательного слагаемых получено положительное число. Результат выполнения операции верный и корректный, совпадает с суммой десятичных эквивалентов.</v>
      </c>
    </row>
    <row r="37" spans="6:32" x14ac:dyDescent="0.25">
      <c r="G37" s="12"/>
    </row>
    <row r="38" spans="6:32" x14ac:dyDescent="0.25">
      <c r="F38" s="8"/>
      <c r="G38" s="12"/>
      <c r="H38" s="11">
        <f t="shared" ref="H38:Y38" si="50">IF(I40=".",I38,ROUNDDOWN((I38+I39+I40)/2,0))</f>
        <v>1</v>
      </c>
      <c r="I38" s="11">
        <f t="shared" si="50"/>
        <v>1</v>
      </c>
      <c r="J38" s="11">
        <f t="shared" si="50"/>
        <v>1</v>
      </c>
      <c r="K38" s="11">
        <f t="shared" si="50"/>
        <v>1</v>
      </c>
      <c r="L38" s="11">
        <f t="shared" si="50"/>
        <v>1</v>
      </c>
      <c r="M38" s="11">
        <f t="shared" si="50"/>
        <v>1</v>
      </c>
      <c r="N38" s="11">
        <f t="shared" si="50"/>
        <v>1</v>
      </c>
      <c r="O38" s="11">
        <f t="shared" si="50"/>
        <v>1</v>
      </c>
      <c r="P38" s="11">
        <f t="shared" si="50"/>
        <v>1</v>
      </c>
      <c r="Q38" s="11">
        <f t="shared" si="50"/>
        <v>1</v>
      </c>
      <c r="R38" s="11">
        <f t="shared" si="50"/>
        <v>1</v>
      </c>
      <c r="S38" s="11">
        <f t="shared" si="50"/>
        <v>1</v>
      </c>
      <c r="T38" s="11">
        <f t="shared" si="50"/>
        <v>0</v>
      </c>
      <c r="U38" s="11">
        <f t="shared" si="50"/>
        <v>0</v>
      </c>
      <c r="V38" s="11">
        <f t="shared" si="50"/>
        <v>0</v>
      </c>
      <c r="W38" s="11">
        <f t="shared" si="50"/>
        <v>1</v>
      </c>
      <c r="X38" s="11">
        <f t="shared" si="50"/>
        <v>1</v>
      </c>
      <c r="Y38" s="11">
        <f t="shared" si="50"/>
        <v>0</v>
      </c>
      <c r="Z38" s="8"/>
      <c r="AA38" s="8"/>
    </row>
    <row r="39" spans="6:32" x14ac:dyDescent="0.25">
      <c r="F39" s="13" t="s">
        <v>40</v>
      </c>
      <c r="G39" s="12" t="s">
        <v>34</v>
      </c>
      <c r="H39" s="8" t="str">
        <f t="shared" ref="H39:W40" si="51">VLOOKUP($G39,$E$4:$Z$15,22-H$3,0)</f>
        <v>1</v>
      </c>
      <c r="I39" s="8" t="str">
        <f t="shared" si="51"/>
        <v>1</v>
      </c>
      <c r="J39" s="8" t="str">
        <f t="shared" si="51"/>
        <v>1</v>
      </c>
      <c r="K39" s="8" t="str">
        <f t="shared" si="51"/>
        <v>0</v>
      </c>
      <c r="L39" s="8" t="str">
        <f t="shared" si="51"/>
        <v>.</v>
      </c>
      <c r="M39" s="8" t="str">
        <f t="shared" si="51"/>
        <v>0</v>
      </c>
      <c r="N39" s="8" t="str">
        <f t="shared" si="51"/>
        <v>0</v>
      </c>
      <c r="O39" s="8" t="str">
        <f t="shared" si="51"/>
        <v>1</v>
      </c>
      <c r="P39" s="8" t="str">
        <f t="shared" si="51"/>
        <v>1</v>
      </c>
      <c r="Q39" s="8" t="str">
        <f t="shared" si="51"/>
        <v>.</v>
      </c>
      <c r="R39" s="8" t="str">
        <f t="shared" si="51"/>
        <v>0</v>
      </c>
      <c r="S39" s="8" t="str">
        <f t="shared" si="51"/>
        <v>0</v>
      </c>
      <c r="T39" s="8" t="str">
        <f t="shared" si="51"/>
        <v>1</v>
      </c>
      <c r="U39" s="8" t="str">
        <f t="shared" si="51"/>
        <v>0</v>
      </c>
      <c r="V39" s="8" t="str">
        <f t="shared" si="51"/>
        <v>.</v>
      </c>
      <c r="W39" s="8" t="str">
        <f t="shared" si="51"/>
        <v>0</v>
      </c>
      <c r="X39" s="8" t="str">
        <f t="shared" ref="X39:Z40" si="52">VLOOKUP($G39,$E$4:$Z$15,22-X$3,0)</f>
        <v>0</v>
      </c>
      <c r="Y39" s="8" t="str">
        <f t="shared" si="52"/>
        <v>1</v>
      </c>
      <c r="Z39" s="8" t="str">
        <f t="shared" si="52"/>
        <v>1</v>
      </c>
      <c r="AA39" s="8"/>
      <c r="AC39" s="13" t="s">
        <v>40</v>
      </c>
      <c r="AD39" t="s">
        <v>14</v>
      </c>
      <c r="AE39">
        <f>VLOOKUP(AD39,$A$4:$C$15,3,0)</f>
        <v>-7389</v>
      </c>
    </row>
    <row r="40" spans="6:32" x14ac:dyDescent="0.25">
      <c r="F40" s="13"/>
      <c r="G40" s="12" t="s">
        <v>35</v>
      </c>
      <c r="H40" s="8" t="str">
        <f t="shared" si="51"/>
        <v>1</v>
      </c>
      <c r="I40" s="8" t="str">
        <f t="shared" si="51"/>
        <v>0</v>
      </c>
      <c r="J40" s="8" t="str">
        <f t="shared" si="51"/>
        <v>1</v>
      </c>
      <c r="K40" s="8" t="str">
        <f t="shared" si="51"/>
        <v>1</v>
      </c>
      <c r="L40" s="8" t="str">
        <f t="shared" si="51"/>
        <v>.</v>
      </c>
      <c r="M40" s="8" t="str">
        <f t="shared" si="51"/>
        <v>1</v>
      </c>
      <c r="N40" s="8" t="str">
        <f t="shared" si="51"/>
        <v>1</v>
      </c>
      <c r="O40" s="8" t="str">
        <f t="shared" si="51"/>
        <v>0</v>
      </c>
      <c r="P40" s="8" t="str">
        <f t="shared" si="51"/>
        <v>0</v>
      </c>
      <c r="Q40" s="8" t="str">
        <f t="shared" si="51"/>
        <v>.</v>
      </c>
      <c r="R40" s="8" t="str">
        <f t="shared" si="51"/>
        <v>1</v>
      </c>
      <c r="S40" s="8" t="str">
        <f t="shared" si="51"/>
        <v>1</v>
      </c>
      <c r="T40" s="8" t="str">
        <f t="shared" si="51"/>
        <v>1</v>
      </c>
      <c r="U40" s="8" t="str">
        <f t="shared" si="51"/>
        <v>0</v>
      </c>
      <c r="V40" s="8" t="str">
        <f t="shared" si="51"/>
        <v>.</v>
      </c>
      <c r="W40" s="8" t="str">
        <f t="shared" si="51"/>
        <v>0</v>
      </c>
      <c r="X40" s="8" t="str">
        <f t="shared" si="52"/>
        <v>1</v>
      </c>
      <c r="Y40" s="8" t="str">
        <f t="shared" si="52"/>
        <v>1</v>
      </c>
      <c r="Z40" s="8" t="str">
        <f t="shared" si="52"/>
        <v>0</v>
      </c>
      <c r="AA40" s="8"/>
      <c r="AC40" s="13"/>
      <c r="AD40" t="s">
        <v>16</v>
      </c>
      <c r="AE40">
        <f>VLOOKUP(AD40,$A$4:$C$15,3,0)</f>
        <v>-17178</v>
      </c>
    </row>
    <row r="41" spans="6:32" x14ac:dyDescent="0.25">
      <c r="F41" s="8"/>
      <c r="G41" s="12"/>
      <c r="H41" s="8">
        <f t="shared" ref="H41" si="53">IF(H40=".",H40,MOD(H38+H39+H40,2))</f>
        <v>1</v>
      </c>
      <c r="I41" s="8">
        <f t="shared" ref="I41" si="54">IF(I40=".",I40,MOD(I38+I39+I40,2))</f>
        <v>0</v>
      </c>
      <c r="J41" s="8">
        <f t="shared" ref="J41" si="55">IF(J40=".",J40,MOD(J38+J39+J40,2))</f>
        <v>1</v>
      </c>
      <c r="K41" s="8">
        <f t="shared" ref="K41" si="56">IF(K40=".",K40,MOD(K38+K39+K40,2))</f>
        <v>0</v>
      </c>
      <c r="L41" s="8" t="str">
        <f t="shared" ref="L41" si="57">IF(L40=".",L40,MOD(L38+L39+L40,2))</f>
        <v>.</v>
      </c>
      <c r="M41" s="8">
        <f t="shared" ref="M41" si="58">IF(M40=".",M40,MOD(M38+M39+M40,2))</f>
        <v>0</v>
      </c>
      <c r="N41" s="8">
        <f t="shared" ref="N41" si="59">IF(N40=".",N40,MOD(N38+N39+N40,2))</f>
        <v>0</v>
      </c>
      <c r="O41" s="8">
        <f t="shared" ref="O41" si="60">IF(O40=".",O40,MOD(O38+O39+O40,2))</f>
        <v>0</v>
      </c>
      <c r="P41" s="8">
        <f t="shared" ref="P41" si="61">IF(P40=".",P40,MOD(P38+P39+P40,2))</f>
        <v>0</v>
      </c>
      <c r="Q41" s="8" t="str">
        <f t="shared" ref="Q41" si="62">IF(Q40=".",Q40,MOD(Q38+Q39+Q40,2))</f>
        <v>.</v>
      </c>
      <c r="R41" s="8">
        <f t="shared" ref="R41" si="63">IF(R40=".",R40,MOD(R38+R39+R40,2))</f>
        <v>0</v>
      </c>
      <c r="S41" s="8">
        <f t="shared" ref="S41" si="64">IF(S40=".",S40,MOD(S38+S39+S40,2))</f>
        <v>0</v>
      </c>
      <c r="T41" s="8">
        <f t="shared" ref="T41" si="65">IF(T40=".",T40,MOD(T38+T39+T40,2))</f>
        <v>0</v>
      </c>
      <c r="U41" s="8">
        <f t="shared" ref="U41" si="66">IF(U40=".",U40,MOD(U38+U39+U40,2))</f>
        <v>0</v>
      </c>
      <c r="V41" s="8" t="str">
        <f t="shared" ref="V41" si="67">IF(V40=".",V40,MOD(V38+V39+V40,2))</f>
        <v>.</v>
      </c>
      <c r="W41" s="8">
        <f t="shared" ref="W41" si="68">IF(W40=".",W40,MOD(W38+W39+W40,2))</f>
        <v>1</v>
      </c>
      <c r="X41" s="8">
        <f t="shared" ref="X41" si="69">IF(X40=".",X40,MOD(X38+X39+X40,2))</f>
        <v>0</v>
      </c>
      <c r="Y41" s="8">
        <f t="shared" ref="Y41" si="70">IF(Y40=".",Y40,MOD(Y38+Y39+Y40,2))</f>
        <v>0</v>
      </c>
      <c r="Z41" s="8">
        <f t="shared" ref="Z41" si="71">IF(Z40=".",Z40,MOD(Z38+Z39+Z40,2))</f>
        <v>1</v>
      </c>
      <c r="AA41" s="8" t="s">
        <v>28</v>
      </c>
      <c r="AB41">
        <f>IF(H41=1,_xlfn.DECIMAL(H41&amp;I41&amp;J41&amp;K41&amp;M41&amp;N41&amp;O41&amp;P41&amp;R41&amp;S41&amp;T41&amp;U41&amp;W41&amp;X41&amp;Y41&amp;Z41,2)-65536,_xlfn.DECIMAL(H41&amp;I41&amp;J41&amp;K41&amp;M41&amp;N41&amp;O41&amp;P41&amp;R41&amp;S41&amp;T41&amp;U41&amp;W41&amp;X41&amp;Y41&amp;Z41,2))</f>
        <v>-24567</v>
      </c>
      <c r="AE41">
        <f>AE39+AE40</f>
        <v>-24567</v>
      </c>
    </row>
    <row r="42" spans="6:32" x14ac:dyDescent="0.25">
      <c r="G42" s="12"/>
    </row>
    <row r="43" spans="6:32" x14ac:dyDescent="0.25">
      <c r="G43" s="12"/>
      <c r="I43" t="s">
        <v>41</v>
      </c>
      <c r="J43">
        <f>IF(H38+H39+H40&gt;1,1,0)</f>
        <v>1</v>
      </c>
      <c r="K43" t="s">
        <v>42</v>
      </c>
      <c r="L43">
        <f>1-MOD(SUM(R41:U41)+SUM(W41:Z41),2)</f>
        <v>1</v>
      </c>
      <c r="M43" t="s">
        <v>43</v>
      </c>
      <c r="N43">
        <f>V38</f>
        <v>0</v>
      </c>
      <c r="O43" t="s">
        <v>44</v>
      </c>
      <c r="P43">
        <f>IF(AB41=0,1,0)</f>
        <v>0</v>
      </c>
      <c r="Q43" t="s">
        <v>46</v>
      </c>
      <c r="R43" t="s">
        <v>45</v>
      </c>
      <c r="S43">
        <f>H41</f>
        <v>1</v>
      </c>
      <c r="T43" t="s">
        <v>47</v>
      </c>
      <c r="U43">
        <f>IF(H39+H40=H41,0,1)</f>
        <v>1</v>
      </c>
      <c r="AF43" t="str">
        <f>IF(AND(VALUE(H39)=0,VALUE(H40)=0,AB41=AE41),$AA$2,IF(AND(VALUE(H39)=1,VALUE(H40)=1,AB41=AE41),$AA$3,IF(AND(OR(AND(VALUE(H39)=0,VALUE(H40)=1),AND(VALUE(H39)=1,VALUE(H40)=0)),VALUE(H41)=0),$AA$4,IF(AND(OR(AND(VALUE(H39)=0,VALUE(H40)=1),AND(VALUE(H39)=1,VALUE(H40)=0)),VALUE(H41)=1),$AA$5,IF(AND(VALUE(H39)=0,VALUE(H40)=0,VALUE(U43)=1),$AA$6,IF(AND(VALUE(H39)=1,VALUE(H40)=1,VALUE(U43)=1),$AA$7,0))))))</f>
        <v>При сложении двух отрицательных слагаемых получено отрицательное число. Результат выполнения операции верный и корректный, совпадает с суммой десятичных эквивалентов.</v>
      </c>
    </row>
    <row r="44" spans="6:32" x14ac:dyDescent="0.25">
      <c r="G44" s="12"/>
    </row>
    <row r="45" spans="6:32" x14ac:dyDescent="0.25">
      <c r="G45" s="12"/>
      <c r="H45" s="11">
        <f t="shared" ref="H45:Y45" si="72">IF(I47=".",I45,ROUNDDOWN((I45+I46+I47)/2,0))</f>
        <v>0</v>
      </c>
      <c r="I45" s="11">
        <f t="shared" si="72"/>
        <v>1</v>
      </c>
      <c r="J45" s="11">
        <f t="shared" si="72"/>
        <v>0</v>
      </c>
      <c r="K45" s="11">
        <f t="shared" si="72"/>
        <v>0</v>
      </c>
      <c r="L45" s="11">
        <f t="shared" si="72"/>
        <v>0</v>
      </c>
      <c r="M45" s="11">
        <f t="shared" si="72"/>
        <v>0</v>
      </c>
      <c r="N45" s="11">
        <f t="shared" si="72"/>
        <v>0</v>
      </c>
      <c r="O45" s="11">
        <f t="shared" si="72"/>
        <v>0</v>
      </c>
      <c r="P45" s="11">
        <f t="shared" si="72"/>
        <v>0</v>
      </c>
      <c r="Q45" s="11">
        <f t="shared" si="72"/>
        <v>0</v>
      </c>
      <c r="R45" s="11">
        <f t="shared" si="72"/>
        <v>0</v>
      </c>
      <c r="S45" s="11">
        <f t="shared" si="72"/>
        <v>0</v>
      </c>
      <c r="T45" s="11">
        <f t="shared" si="72"/>
        <v>0</v>
      </c>
      <c r="U45" s="11">
        <f t="shared" si="72"/>
        <v>0</v>
      </c>
      <c r="V45" s="11">
        <f t="shared" si="72"/>
        <v>0</v>
      </c>
      <c r="W45" s="11">
        <f t="shared" si="72"/>
        <v>0</v>
      </c>
      <c r="X45" s="11">
        <f t="shared" si="72"/>
        <v>0</v>
      </c>
      <c r="Y45" s="11">
        <f t="shared" si="72"/>
        <v>0</v>
      </c>
    </row>
    <row r="46" spans="6:32" x14ac:dyDescent="0.25">
      <c r="F46" s="13" t="s">
        <v>40</v>
      </c>
      <c r="G46" s="12" t="s">
        <v>35</v>
      </c>
      <c r="H46" s="8" t="str">
        <f t="shared" ref="H46:W53" si="73">VLOOKUP($G46,$E$4:$Z$15,22-H$3,0)</f>
        <v>1</v>
      </c>
      <c r="I46" s="8" t="str">
        <f t="shared" si="73"/>
        <v>0</v>
      </c>
      <c r="J46" s="8" t="str">
        <f t="shared" si="73"/>
        <v>1</v>
      </c>
      <c r="K46" s="8" t="str">
        <f t="shared" si="73"/>
        <v>1</v>
      </c>
      <c r="L46" s="8" t="str">
        <f t="shared" si="73"/>
        <v>.</v>
      </c>
      <c r="M46" s="8" t="str">
        <f t="shared" si="73"/>
        <v>1</v>
      </c>
      <c r="N46" s="8" t="str">
        <f t="shared" si="73"/>
        <v>1</v>
      </c>
      <c r="O46" s="8" t="str">
        <f t="shared" si="73"/>
        <v>0</v>
      </c>
      <c r="P46" s="8" t="str">
        <f t="shared" si="73"/>
        <v>0</v>
      </c>
      <c r="Q46" s="8" t="str">
        <f t="shared" si="73"/>
        <v>.</v>
      </c>
      <c r="R46" s="8" t="str">
        <f t="shared" si="73"/>
        <v>1</v>
      </c>
      <c r="S46" s="8" t="str">
        <f t="shared" si="73"/>
        <v>1</v>
      </c>
      <c r="T46" s="8" t="str">
        <f t="shared" si="73"/>
        <v>1</v>
      </c>
      <c r="U46" s="8" t="str">
        <f t="shared" si="73"/>
        <v>0</v>
      </c>
      <c r="V46" s="8" t="str">
        <f t="shared" si="73"/>
        <v>.</v>
      </c>
      <c r="W46" s="8" t="str">
        <f t="shared" si="73"/>
        <v>0</v>
      </c>
      <c r="X46" s="8" t="str">
        <f t="shared" ref="X46:Z47" si="74">VLOOKUP($G46,$E$4:$Z$15,22-X$3,0)</f>
        <v>1</v>
      </c>
      <c r="Y46" s="8" t="str">
        <f t="shared" si="74"/>
        <v>1</v>
      </c>
      <c r="Z46" s="8" t="str">
        <f t="shared" si="74"/>
        <v>0</v>
      </c>
      <c r="AA46" s="8"/>
      <c r="AC46" s="13" t="s">
        <v>40</v>
      </c>
      <c r="AD46" t="s">
        <v>16</v>
      </c>
      <c r="AE46">
        <f>VLOOKUP(AD46,$A$4:$C$15,3,0)</f>
        <v>-17178</v>
      </c>
    </row>
    <row r="47" spans="6:32" x14ac:dyDescent="0.25">
      <c r="F47" s="13"/>
      <c r="G47" s="12" t="s">
        <v>36</v>
      </c>
      <c r="H47" s="8" t="str">
        <f t="shared" si="73"/>
        <v>1</v>
      </c>
      <c r="I47" s="8" t="str">
        <f t="shared" si="73"/>
        <v>0</v>
      </c>
      <c r="J47" s="8" t="str">
        <f t="shared" si="73"/>
        <v>1</v>
      </c>
      <c r="K47" s="8" t="str">
        <f t="shared" si="73"/>
        <v>0</v>
      </c>
      <c r="L47" s="8" t="str">
        <f t="shared" si="73"/>
        <v>.</v>
      </c>
      <c r="M47" s="8" t="str">
        <f t="shared" si="73"/>
        <v>0</v>
      </c>
      <c r="N47" s="8" t="str">
        <f t="shared" si="73"/>
        <v>0</v>
      </c>
      <c r="O47" s="8" t="str">
        <f t="shared" si="73"/>
        <v>0</v>
      </c>
      <c r="P47" s="8" t="str">
        <f t="shared" si="73"/>
        <v>0</v>
      </c>
      <c r="Q47" s="8" t="str">
        <f t="shared" si="73"/>
        <v>.</v>
      </c>
      <c r="R47" s="8" t="str">
        <f t="shared" si="73"/>
        <v>0</v>
      </c>
      <c r="S47" s="8" t="str">
        <f t="shared" si="73"/>
        <v>0</v>
      </c>
      <c r="T47" s="8" t="str">
        <f t="shared" si="73"/>
        <v>0</v>
      </c>
      <c r="U47" s="8" t="str">
        <f t="shared" si="73"/>
        <v>0</v>
      </c>
      <c r="V47" s="8" t="str">
        <f t="shared" si="73"/>
        <v>.</v>
      </c>
      <c r="W47" s="8" t="str">
        <f t="shared" si="73"/>
        <v>1</v>
      </c>
      <c r="X47" s="8" t="str">
        <f t="shared" si="74"/>
        <v>0</v>
      </c>
      <c r="Y47" s="8" t="str">
        <f t="shared" si="74"/>
        <v>0</v>
      </c>
      <c r="Z47" s="8" t="str">
        <f t="shared" si="74"/>
        <v>1</v>
      </c>
      <c r="AA47" s="8"/>
      <c r="AC47" s="13"/>
      <c r="AD47" t="s">
        <v>18</v>
      </c>
      <c r="AE47">
        <f>VLOOKUP(AD47,$A$4:$C$15,3,0)</f>
        <v>-24567</v>
      </c>
    </row>
    <row r="48" spans="6:32" x14ac:dyDescent="0.25">
      <c r="H48" s="8">
        <f t="shared" ref="H48" si="75">IF(H47=".",H47,MOD(H45+H46+H47,2))</f>
        <v>0</v>
      </c>
      <c r="I48" s="8">
        <f t="shared" ref="I48" si="76">IF(I47=".",I47,MOD(I45+I46+I47,2))</f>
        <v>1</v>
      </c>
      <c r="J48" s="8">
        <f t="shared" ref="J48" si="77">IF(J47=".",J47,MOD(J45+J46+J47,2))</f>
        <v>0</v>
      </c>
      <c r="K48" s="8">
        <f t="shared" ref="K48" si="78">IF(K47=".",K47,MOD(K45+K46+K47,2))</f>
        <v>1</v>
      </c>
      <c r="L48" s="8" t="str">
        <f t="shared" ref="L48" si="79">IF(L47=".",L47,MOD(L45+L46+L47,2))</f>
        <v>.</v>
      </c>
      <c r="M48" s="8">
        <f t="shared" ref="M48" si="80">IF(M47=".",M47,MOD(M45+M46+M47,2))</f>
        <v>1</v>
      </c>
      <c r="N48" s="8">
        <f t="shared" ref="N48" si="81">IF(N47=".",N47,MOD(N45+N46+N47,2))</f>
        <v>1</v>
      </c>
      <c r="O48" s="8">
        <f t="shared" ref="O48" si="82">IF(O47=".",O47,MOD(O45+O46+O47,2))</f>
        <v>0</v>
      </c>
      <c r="P48" s="8">
        <f t="shared" ref="P48" si="83">IF(P47=".",P47,MOD(P45+P46+P47,2))</f>
        <v>0</v>
      </c>
      <c r="Q48" s="8" t="str">
        <f t="shared" ref="Q48" si="84">IF(Q47=".",Q47,MOD(Q45+Q46+Q47,2))</f>
        <v>.</v>
      </c>
      <c r="R48" s="8">
        <f t="shared" ref="R48" si="85">IF(R47=".",R47,MOD(R45+R46+R47,2))</f>
        <v>1</v>
      </c>
      <c r="S48" s="8">
        <f t="shared" ref="S48" si="86">IF(S47=".",S47,MOD(S45+S46+S47,2))</f>
        <v>1</v>
      </c>
      <c r="T48" s="8">
        <f t="shared" ref="T48" si="87">IF(T47=".",T47,MOD(T45+T46+T47,2))</f>
        <v>1</v>
      </c>
      <c r="U48" s="8">
        <f t="shared" ref="U48" si="88">IF(U47=".",U47,MOD(U45+U46+U47,2))</f>
        <v>0</v>
      </c>
      <c r="V48" s="8" t="str">
        <f t="shared" ref="V48" si="89">IF(V47=".",V47,MOD(V45+V46+V47,2))</f>
        <v>.</v>
      </c>
      <c r="W48" s="8">
        <f t="shared" ref="W48" si="90">IF(W47=".",W47,MOD(W45+W46+W47,2))</f>
        <v>1</v>
      </c>
      <c r="X48" s="8">
        <f t="shared" ref="X48" si="91">IF(X47=".",X47,MOD(X45+X46+X47,2))</f>
        <v>1</v>
      </c>
      <c r="Y48" s="8">
        <f t="shared" ref="Y48" si="92">IF(Y47=".",Y47,MOD(Y45+Y46+Y47,2))</f>
        <v>1</v>
      </c>
      <c r="Z48" s="8">
        <f t="shared" ref="Z48" si="93">IF(Z47=".",Z47,MOD(Z45+Z46+Z47,2))</f>
        <v>1</v>
      </c>
      <c r="AA48" s="8" t="s">
        <v>28</v>
      </c>
      <c r="AB48">
        <f>IF(H48=1,_xlfn.DECIMAL(H48&amp;I48&amp;J48&amp;K48&amp;M48&amp;N48&amp;O48&amp;P48&amp;R48&amp;S48&amp;T48&amp;U48&amp;W48&amp;X48&amp;Y48&amp;Z48,2)-65536,_xlfn.DECIMAL(H48&amp;I48&amp;J48&amp;K48&amp;M48&amp;N48&amp;O48&amp;P48&amp;R48&amp;S48&amp;T48&amp;U48&amp;W48&amp;X48&amp;Y48&amp;Z48,2))</f>
        <v>23791</v>
      </c>
      <c r="AE48">
        <f>AE46+AE47</f>
        <v>-41745</v>
      </c>
    </row>
    <row r="50" spans="6:32" x14ac:dyDescent="0.25">
      <c r="I50" t="s">
        <v>41</v>
      </c>
      <c r="J50">
        <f>IF(H45+H46+H47&gt;1,1,0)</f>
        <v>1</v>
      </c>
      <c r="K50" t="s">
        <v>42</v>
      </c>
      <c r="L50">
        <f>1-MOD(SUM(R48:U48)+SUM(W48:Z48),2)</f>
        <v>0</v>
      </c>
      <c r="M50" t="s">
        <v>43</v>
      </c>
      <c r="N50">
        <f>V45</f>
        <v>0</v>
      </c>
      <c r="O50" t="s">
        <v>44</v>
      </c>
      <c r="P50">
        <f>IF(AB48=0,1,0)</f>
        <v>0</v>
      </c>
      <c r="Q50" t="s">
        <v>46</v>
      </c>
      <c r="R50" t="s">
        <v>45</v>
      </c>
      <c r="S50">
        <f>H48</f>
        <v>0</v>
      </c>
      <c r="T50" t="s">
        <v>47</v>
      </c>
      <c r="U50">
        <f>IF(H46+H47=H48,0,1)</f>
        <v>1</v>
      </c>
      <c r="AF50" t="str">
        <f>IF(AND(VALUE(H46)=0,VALUE(H47)=0,AB48=AE48),$AA$2,IF(AND(VALUE(H46)=1,VALUE(H47)=1,AB48=AE48),$AA$3,IF(AND(OR(AND(VALUE(H46)=0,VALUE(H47)=1),AND(VALUE(H46)=1,VALUE(H47)=0)),VALUE(H48)=0),$AA$4,IF(AND(OR(AND(VALUE(H46)=0,VALUE(H47)=1),AND(VALUE(H46)=1,VALUE(H47)=0)),VALUE(H48)=1),$AA$5,IF(AND(VALUE(H46)=0,VALUE(H47)=0,VALUE(U50)=1),$AA$6,IF(AND(VALUE(H46)=1,VALUE(H47)=1,VALUE(U50)=1),$AA$7,0))))))</f>
        <v>При сложении двух отрицательных слагаемых получено положительное число. Результат выполнения операции неверный в ходе возникновения переполнения,не совпадает с суммой десятичных эквивалентов.</v>
      </c>
    </row>
    <row r="51" spans="6:32" x14ac:dyDescent="0.25">
      <c r="G51" s="12"/>
      <c r="H51" s="11">
        <f t="shared" ref="H51:Y51" si="94">IF(I53=".",I51,ROUNDDOWN((I51+I52+I53)/2,0))</f>
        <v>0</v>
      </c>
      <c r="I51" s="11">
        <f t="shared" si="94"/>
        <v>1</v>
      </c>
      <c r="J51" s="11">
        <f t="shared" si="94"/>
        <v>1</v>
      </c>
      <c r="K51" s="11">
        <f t="shared" si="94"/>
        <v>1</v>
      </c>
      <c r="L51" s="11">
        <f t="shared" si="94"/>
        <v>1</v>
      </c>
      <c r="M51" s="11">
        <f t="shared" si="94"/>
        <v>1</v>
      </c>
      <c r="N51" s="11">
        <f t="shared" si="94"/>
        <v>0</v>
      </c>
      <c r="O51" s="11">
        <f t="shared" si="94"/>
        <v>0</v>
      </c>
      <c r="P51" s="11">
        <f t="shared" si="94"/>
        <v>1</v>
      </c>
      <c r="Q51" s="11">
        <f t="shared" si="94"/>
        <v>1</v>
      </c>
      <c r="R51" s="11">
        <f t="shared" si="94"/>
        <v>1</v>
      </c>
      <c r="S51" s="11">
        <f t="shared" si="94"/>
        <v>1</v>
      </c>
      <c r="T51" s="11">
        <f t="shared" si="94"/>
        <v>1</v>
      </c>
      <c r="U51" s="11">
        <f t="shared" si="94"/>
        <v>1</v>
      </c>
      <c r="V51" s="11">
        <f t="shared" si="94"/>
        <v>1</v>
      </c>
      <c r="W51" s="11">
        <f t="shared" si="94"/>
        <v>1</v>
      </c>
      <c r="X51" s="11">
        <f t="shared" si="94"/>
        <v>0</v>
      </c>
      <c r="Y51" s="11">
        <f t="shared" si="94"/>
        <v>0</v>
      </c>
      <c r="Z51" s="8"/>
      <c r="AA51" s="8"/>
    </row>
    <row r="52" spans="6:32" x14ac:dyDescent="0.25">
      <c r="F52" s="13" t="s">
        <v>40</v>
      </c>
      <c r="G52" s="12" t="s">
        <v>35</v>
      </c>
      <c r="H52" s="8" t="str">
        <f t="shared" si="73"/>
        <v>1</v>
      </c>
      <c r="I52" s="8" t="str">
        <f t="shared" si="73"/>
        <v>0</v>
      </c>
      <c r="J52" s="8" t="str">
        <f t="shared" si="73"/>
        <v>1</v>
      </c>
      <c r="K52" s="8" t="str">
        <f t="shared" si="73"/>
        <v>1</v>
      </c>
      <c r="L52" s="8" t="str">
        <f t="shared" si="73"/>
        <v>.</v>
      </c>
      <c r="M52" s="8" t="str">
        <f t="shared" si="73"/>
        <v>1</v>
      </c>
      <c r="N52" s="8" t="str">
        <f t="shared" si="73"/>
        <v>1</v>
      </c>
      <c r="O52" s="8" t="str">
        <f t="shared" si="73"/>
        <v>0</v>
      </c>
      <c r="P52" s="8" t="str">
        <f t="shared" si="73"/>
        <v>0</v>
      </c>
      <c r="Q52" s="8" t="str">
        <f t="shared" si="73"/>
        <v>.</v>
      </c>
      <c r="R52" s="8" t="str">
        <f t="shared" si="73"/>
        <v>1</v>
      </c>
      <c r="S52" s="8" t="str">
        <f t="shared" si="73"/>
        <v>1</v>
      </c>
      <c r="T52" s="8" t="str">
        <f t="shared" si="73"/>
        <v>1</v>
      </c>
      <c r="U52" s="8" t="str">
        <f t="shared" si="73"/>
        <v>0</v>
      </c>
      <c r="V52" s="8" t="str">
        <f t="shared" si="73"/>
        <v>.</v>
      </c>
      <c r="W52" s="8" t="str">
        <f t="shared" si="73"/>
        <v>0</v>
      </c>
      <c r="X52" s="8" t="str">
        <f t="shared" ref="X52:Z53" si="95">VLOOKUP($G52,$E$4:$Z$15,22-X$3,0)</f>
        <v>1</v>
      </c>
      <c r="Y52" s="8" t="str">
        <f t="shared" si="95"/>
        <v>1</v>
      </c>
      <c r="Z52" s="8" t="str">
        <f t="shared" si="95"/>
        <v>0</v>
      </c>
      <c r="AA52" s="8"/>
      <c r="AC52" s="13" t="s">
        <v>40</v>
      </c>
      <c r="AD52" t="s">
        <v>16</v>
      </c>
      <c r="AE52">
        <f>VLOOKUP(AD52,$A$4:$C$15,3,0)</f>
        <v>-17178</v>
      </c>
    </row>
    <row r="53" spans="6:32" x14ac:dyDescent="0.25">
      <c r="F53" s="13"/>
      <c r="G53" s="12" t="s">
        <v>27</v>
      </c>
      <c r="H53" s="8" t="str">
        <f t="shared" si="73"/>
        <v>0</v>
      </c>
      <c r="I53" s="8" t="str">
        <f t="shared" si="73"/>
        <v>0</v>
      </c>
      <c r="J53" s="8" t="str">
        <f t="shared" si="73"/>
        <v>0</v>
      </c>
      <c r="K53" s="8" t="str">
        <f t="shared" si="73"/>
        <v>1</v>
      </c>
      <c r="L53" s="8" t="str">
        <f t="shared" si="73"/>
        <v>.</v>
      </c>
      <c r="M53" s="8" t="str">
        <f t="shared" si="73"/>
        <v>1</v>
      </c>
      <c r="N53" s="8" t="str">
        <f t="shared" si="73"/>
        <v>1</v>
      </c>
      <c r="O53" s="8" t="str">
        <f t="shared" si="73"/>
        <v>0</v>
      </c>
      <c r="P53" s="8" t="str">
        <f t="shared" si="73"/>
        <v>0</v>
      </c>
      <c r="Q53" s="8" t="str">
        <f t="shared" si="73"/>
        <v>.</v>
      </c>
      <c r="R53" s="8" t="str">
        <f t="shared" si="73"/>
        <v>1</v>
      </c>
      <c r="S53" s="8" t="str">
        <f t="shared" si="73"/>
        <v>1</v>
      </c>
      <c r="T53" s="8" t="str">
        <f t="shared" si="73"/>
        <v>0</v>
      </c>
      <c r="U53" s="8" t="str">
        <f t="shared" si="73"/>
        <v>1</v>
      </c>
      <c r="V53" s="8" t="str">
        <f t="shared" si="73"/>
        <v>.</v>
      </c>
      <c r="W53" s="8" t="str">
        <f t="shared" si="73"/>
        <v>1</v>
      </c>
      <c r="X53" s="8" t="str">
        <f t="shared" si="95"/>
        <v>1</v>
      </c>
      <c r="Y53" s="8" t="str">
        <f t="shared" si="95"/>
        <v>0</v>
      </c>
      <c r="Z53" s="8" t="str">
        <f t="shared" si="95"/>
        <v>1</v>
      </c>
      <c r="AA53" s="8"/>
      <c r="AC53" s="13"/>
      <c r="AD53" t="s">
        <v>2</v>
      </c>
      <c r="AE53">
        <f>VLOOKUP(AD53,$A$4:$C$15,3,0)</f>
        <v>7389</v>
      </c>
    </row>
    <row r="54" spans="6:32" x14ac:dyDescent="0.25">
      <c r="H54" s="8">
        <f t="shared" ref="H54" si="96">IF(H53=".",H53,MOD(H51+H52+H53,2))</f>
        <v>1</v>
      </c>
      <c r="I54" s="8">
        <f t="shared" ref="I54" si="97">IF(I53=".",I53,MOD(I51+I52+I53,2))</f>
        <v>1</v>
      </c>
      <c r="J54" s="8">
        <f t="shared" ref="J54" si="98">IF(J53=".",J53,MOD(J51+J52+J53,2))</f>
        <v>0</v>
      </c>
      <c r="K54" s="8">
        <f t="shared" ref="K54" si="99">IF(K53=".",K53,MOD(K51+K52+K53,2))</f>
        <v>1</v>
      </c>
      <c r="L54" s="8" t="str">
        <f t="shared" ref="L54" si="100">IF(L53=".",L53,MOD(L51+L52+L53,2))</f>
        <v>.</v>
      </c>
      <c r="M54" s="8">
        <f t="shared" ref="M54" si="101">IF(M53=".",M53,MOD(M51+M52+M53,2))</f>
        <v>1</v>
      </c>
      <c r="N54" s="8">
        <f t="shared" ref="N54" si="102">IF(N53=".",N53,MOD(N51+N52+N53,2))</f>
        <v>0</v>
      </c>
      <c r="O54" s="8">
        <f t="shared" ref="O54" si="103">IF(O53=".",O53,MOD(O51+O52+O53,2))</f>
        <v>0</v>
      </c>
      <c r="P54" s="8">
        <f t="shared" ref="P54" si="104">IF(P53=".",P53,MOD(P51+P52+P53,2))</f>
        <v>1</v>
      </c>
      <c r="Q54" s="8" t="str">
        <f t="shared" ref="Q54" si="105">IF(Q53=".",Q53,MOD(Q51+Q52+Q53,2))</f>
        <v>.</v>
      </c>
      <c r="R54" s="8">
        <f t="shared" ref="R54" si="106">IF(R53=".",R53,MOD(R51+R52+R53,2))</f>
        <v>1</v>
      </c>
      <c r="S54" s="8">
        <f t="shared" ref="S54" si="107">IF(S53=".",S53,MOD(S51+S52+S53,2))</f>
        <v>1</v>
      </c>
      <c r="T54" s="8">
        <f t="shared" ref="T54" si="108">IF(T53=".",T53,MOD(T51+T52+T53,2))</f>
        <v>0</v>
      </c>
      <c r="U54" s="8">
        <f t="shared" ref="U54" si="109">IF(U53=".",U53,MOD(U51+U52+U53,2))</f>
        <v>0</v>
      </c>
      <c r="V54" s="8" t="str">
        <f t="shared" ref="V54" si="110">IF(V53=".",V53,MOD(V51+V52+V53,2))</f>
        <v>.</v>
      </c>
      <c r="W54" s="8">
        <f t="shared" ref="W54" si="111">IF(W53=".",W53,MOD(W51+W52+W53,2))</f>
        <v>0</v>
      </c>
      <c r="X54" s="8">
        <f t="shared" ref="X54" si="112">IF(X53=".",X53,MOD(X51+X52+X53,2))</f>
        <v>0</v>
      </c>
      <c r="Y54" s="8">
        <f t="shared" ref="Y54" si="113">IF(Y53=".",Y53,MOD(Y51+Y52+Y53,2))</f>
        <v>1</v>
      </c>
      <c r="Z54" s="8">
        <f t="shared" ref="Z54" si="114">IF(Z53=".",Z53,MOD(Z51+Z52+Z53,2))</f>
        <v>1</v>
      </c>
      <c r="AA54" s="8" t="s">
        <v>28</v>
      </c>
      <c r="AB54">
        <f>IF(H54=1,_xlfn.DECIMAL(H54&amp;I54&amp;J54&amp;K54&amp;M54&amp;N54&amp;O54&amp;P54&amp;R54&amp;S54&amp;T54&amp;U54&amp;W54&amp;X54&amp;Y54&amp;Z54,2)-65536,_xlfn.DECIMAL(H54&amp;I54&amp;J54&amp;K54&amp;M54&amp;N54&amp;O54&amp;P54&amp;R54&amp;S54&amp;T54&amp;U54&amp;W54&amp;X54&amp;Y54&amp;Z54,2))</f>
        <v>-9789</v>
      </c>
      <c r="AE54">
        <f>AE52+AE53</f>
        <v>-9789</v>
      </c>
    </row>
    <row r="56" spans="6:32" x14ac:dyDescent="0.25">
      <c r="I56" t="s">
        <v>41</v>
      </c>
      <c r="J56">
        <f>IF(H51+H52+H53&gt;1,1,0)</f>
        <v>0</v>
      </c>
      <c r="K56" t="s">
        <v>42</v>
      </c>
      <c r="L56">
        <f>1-MOD(SUM(R54:U54)+SUM(W54:Z54),2)</f>
        <v>1</v>
      </c>
      <c r="M56" t="s">
        <v>43</v>
      </c>
      <c r="N56">
        <f>V51</f>
        <v>1</v>
      </c>
      <c r="O56" t="s">
        <v>44</v>
      </c>
      <c r="P56">
        <f>IF(AB54=0,1,0)</f>
        <v>0</v>
      </c>
      <c r="Q56" t="s">
        <v>46</v>
      </c>
      <c r="R56" t="s">
        <v>45</v>
      </c>
      <c r="S56">
        <f>H54</f>
        <v>1</v>
      </c>
      <c r="T56" t="s">
        <v>47</v>
      </c>
      <c r="U56">
        <f>IF(H52+H53=H54,0,1)</f>
        <v>0</v>
      </c>
      <c r="AF56" t="str">
        <f>IF(AND(VALUE(H52)=0,VALUE(H53)=0,AB54=AE54),$AA$2,IF(AND(VALUE(H52)=1,VALUE(H53)=1,AB54=AE54),$AA$3,IF(AND(OR(AND(VALUE(H52)=0,VALUE(H53)=1),AND(VALUE(H52)=1,VALUE(H53)=0)),VALUE(H54)=0),$AA$4,IF(AND(OR(AND(VALUE(H52)=0,VALUE(H53)=1),AND(VALUE(H52)=1,VALUE(H53)=0)),VALUE(H54)=1),$AA$5,IF(AND(VALUE(H52)=0,VALUE(H53)=0,VALUE(U56)=1),$AA$6,IF(AND(VALUE(H52)=1,VALUE(H53)=1,VALUE(U56)=1),$AA$7,0))))))</f>
        <v>При сложении положительного и отрицательного слагаемых получено отрицательное число. Результат выполнения операции верный и корректный, совпадает с суммой десятичных эквивалентов.</v>
      </c>
    </row>
    <row r="58" spans="6:32" x14ac:dyDescent="0.25">
      <c r="G58" s="12"/>
      <c r="H58" s="11">
        <f t="shared" ref="H58:Y58" si="115">IF(I60=".",I58,ROUNDDOWN((I58+I59+I60)/2,0))</f>
        <v>1</v>
      </c>
      <c r="I58" s="11">
        <f t="shared" si="115"/>
        <v>0</v>
      </c>
      <c r="J58" s="11">
        <f t="shared" si="115"/>
        <v>1</v>
      </c>
      <c r="K58" s="11">
        <f t="shared" si="115"/>
        <v>1</v>
      </c>
      <c r="L58" s="11">
        <f t="shared" si="115"/>
        <v>1</v>
      </c>
      <c r="M58" s="11">
        <f t="shared" si="115"/>
        <v>1</v>
      </c>
      <c r="N58" s="11">
        <f t="shared" si="115"/>
        <v>1</v>
      </c>
      <c r="O58" s="11">
        <f t="shared" si="115"/>
        <v>1</v>
      </c>
      <c r="P58" s="11">
        <f t="shared" si="115"/>
        <v>1</v>
      </c>
      <c r="Q58" s="11">
        <f t="shared" si="115"/>
        <v>1</v>
      </c>
      <c r="R58" s="11">
        <f t="shared" si="115"/>
        <v>1</v>
      </c>
      <c r="S58" s="11">
        <f t="shared" si="115"/>
        <v>0</v>
      </c>
      <c r="T58" s="11">
        <f t="shared" si="115"/>
        <v>0</v>
      </c>
      <c r="U58" s="11">
        <f t="shared" si="115"/>
        <v>0</v>
      </c>
      <c r="V58" s="11">
        <f t="shared" si="115"/>
        <v>0</v>
      </c>
      <c r="W58" s="11">
        <f t="shared" si="115"/>
        <v>1</v>
      </c>
      <c r="X58" s="11">
        <f t="shared" si="115"/>
        <v>1</v>
      </c>
      <c r="Y58" s="11">
        <f t="shared" si="115"/>
        <v>1</v>
      </c>
      <c r="Z58" s="8"/>
      <c r="AA58" s="8"/>
    </row>
    <row r="59" spans="6:32" x14ac:dyDescent="0.25">
      <c r="F59" s="13" t="s">
        <v>40</v>
      </c>
      <c r="G59" s="12" t="s">
        <v>38</v>
      </c>
      <c r="H59" s="8" t="str">
        <f t="shared" ref="H59:W60" si="116">VLOOKUP($G59,$E$4:$Z$15,22-H$3,0)</f>
        <v>1</v>
      </c>
      <c r="I59" s="8" t="str">
        <f t="shared" si="116"/>
        <v>1</v>
      </c>
      <c r="J59" s="8" t="str">
        <f t="shared" si="116"/>
        <v>0</v>
      </c>
      <c r="K59" s="8" t="str">
        <f t="shared" si="116"/>
        <v>1</v>
      </c>
      <c r="L59" s="8" t="str">
        <f t="shared" si="116"/>
        <v>.</v>
      </c>
      <c r="M59" s="8" t="str">
        <f t="shared" si="116"/>
        <v>1</v>
      </c>
      <c r="N59" s="8" t="str">
        <f t="shared" si="116"/>
        <v>0</v>
      </c>
      <c r="O59" s="8" t="str">
        <f t="shared" si="116"/>
        <v>0</v>
      </c>
      <c r="P59" s="8" t="str">
        <f t="shared" si="116"/>
        <v>1</v>
      </c>
      <c r="Q59" s="8" t="str">
        <f t="shared" si="116"/>
        <v>.</v>
      </c>
      <c r="R59" s="8" t="str">
        <f t="shared" si="116"/>
        <v>1</v>
      </c>
      <c r="S59" s="8" t="str">
        <f t="shared" si="116"/>
        <v>1</v>
      </c>
      <c r="T59" s="8" t="str">
        <f t="shared" si="116"/>
        <v>0</v>
      </c>
      <c r="U59" s="8" t="str">
        <f t="shared" si="116"/>
        <v>0</v>
      </c>
      <c r="V59" s="8" t="str">
        <f t="shared" si="116"/>
        <v>.</v>
      </c>
      <c r="W59" s="8" t="str">
        <f t="shared" si="116"/>
        <v>0</v>
      </c>
      <c r="X59" s="8" t="str">
        <f t="shared" ref="X59:Z60" si="117">VLOOKUP($G59,$E$4:$Z$15,22-X$3,0)</f>
        <v>0</v>
      </c>
      <c r="Y59" s="8" t="str">
        <f t="shared" si="117"/>
        <v>1</v>
      </c>
      <c r="Z59" s="8" t="str">
        <f t="shared" si="117"/>
        <v>1</v>
      </c>
      <c r="AA59" s="8"/>
      <c r="AC59" s="13" t="s">
        <v>40</v>
      </c>
      <c r="AD59" t="s">
        <v>22</v>
      </c>
      <c r="AE59">
        <f>VLOOKUP(AD59,$A$4:$C$15,3,0)</f>
        <v>-9789</v>
      </c>
    </row>
    <row r="60" spans="6:32" x14ac:dyDescent="0.25">
      <c r="F60" s="13"/>
      <c r="G60" s="12" t="s">
        <v>30</v>
      </c>
      <c r="H60" s="8" t="str">
        <f t="shared" si="116"/>
        <v>0</v>
      </c>
      <c r="I60" s="8" t="str">
        <f t="shared" si="116"/>
        <v>1</v>
      </c>
      <c r="J60" s="8" t="str">
        <f t="shared" si="116"/>
        <v>0</v>
      </c>
      <c r="K60" s="8" t="str">
        <f t="shared" si="116"/>
        <v>1</v>
      </c>
      <c r="L60" s="8" t="str">
        <f t="shared" si="116"/>
        <v>.</v>
      </c>
      <c r="M60" s="8" t="str">
        <f t="shared" si="116"/>
        <v>1</v>
      </c>
      <c r="N60" s="8" t="str">
        <f t="shared" si="116"/>
        <v>1</v>
      </c>
      <c r="O60" s="8" t="str">
        <f t="shared" si="116"/>
        <v>1</v>
      </c>
      <c r="P60" s="8" t="str">
        <f t="shared" si="116"/>
        <v>1</v>
      </c>
      <c r="Q60" s="8" t="str">
        <f t="shared" si="116"/>
        <v>.</v>
      </c>
      <c r="R60" s="8" t="str">
        <f t="shared" si="116"/>
        <v>1</v>
      </c>
      <c r="S60" s="8" t="str">
        <f t="shared" si="116"/>
        <v>1</v>
      </c>
      <c r="T60" s="8" t="str">
        <f t="shared" si="116"/>
        <v>1</v>
      </c>
      <c r="U60" s="8" t="str">
        <f t="shared" si="116"/>
        <v>1</v>
      </c>
      <c r="V60" s="8" t="str">
        <f t="shared" si="116"/>
        <v>.</v>
      </c>
      <c r="W60" s="8" t="str">
        <f t="shared" si="116"/>
        <v>0</v>
      </c>
      <c r="X60" s="8" t="str">
        <f t="shared" si="117"/>
        <v>1</v>
      </c>
      <c r="Y60" s="8" t="str">
        <f t="shared" si="117"/>
        <v>1</v>
      </c>
      <c r="Z60" s="8" t="str">
        <f t="shared" si="117"/>
        <v>1</v>
      </c>
      <c r="AA60" s="8"/>
      <c r="AC60" s="13"/>
      <c r="AD60" t="s">
        <v>6</v>
      </c>
      <c r="AE60">
        <f>VLOOKUP(AD60,$A$4:$C$15,3,0)</f>
        <v>24567</v>
      </c>
    </row>
    <row r="61" spans="6:32" x14ac:dyDescent="0.25">
      <c r="H61" s="8">
        <f t="shared" ref="H61" si="118">IF(H60=".",H60,MOD(H58+H59+H60,2))</f>
        <v>0</v>
      </c>
      <c r="I61" s="8">
        <f t="shared" ref="I61" si="119">IF(I60=".",I60,MOD(I58+I59+I60,2))</f>
        <v>0</v>
      </c>
      <c r="J61" s="8">
        <f t="shared" ref="J61" si="120">IF(J60=".",J60,MOD(J58+J59+J60,2))</f>
        <v>1</v>
      </c>
      <c r="K61" s="8">
        <f t="shared" ref="K61" si="121">IF(K60=".",K60,MOD(K58+K59+K60,2))</f>
        <v>1</v>
      </c>
      <c r="L61" s="8" t="str">
        <f t="shared" ref="L61" si="122">IF(L60=".",L60,MOD(L58+L59+L60,2))</f>
        <v>.</v>
      </c>
      <c r="M61" s="8">
        <f t="shared" ref="M61" si="123">IF(M60=".",M60,MOD(M58+M59+M60,2))</f>
        <v>1</v>
      </c>
      <c r="N61" s="8">
        <f t="shared" ref="N61" si="124">IF(N60=".",N60,MOD(N58+N59+N60,2))</f>
        <v>0</v>
      </c>
      <c r="O61" s="8">
        <f t="shared" ref="O61" si="125">IF(O60=".",O60,MOD(O58+O59+O60,2))</f>
        <v>0</v>
      </c>
      <c r="P61" s="8">
        <f t="shared" ref="P61" si="126">IF(P60=".",P60,MOD(P58+P59+P60,2))</f>
        <v>1</v>
      </c>
      <c r="Q61" s="8" t="str">
        <f t="shared" ref="Q61" si="127">IF(Q60=".",Q60,MOD(Q58+Q59+Q60,2))</f>
        <v>.</v>
      </c>
      <c r="R61" s="8">
        <f t="shared" ref="R61" si="128">IF(R60=".",R60,MOD(R58+R59+R60,2))</f>
        <v>1</v>
      </c>
      <c r="S61" s="8">
        <f t="shared" ref="S61" si="129">IF(S60=".",S60,MOD(S58+S59+S60,2))</f>
        <v>0</v>
      </c>
      <c r="T61" s="8">
        <f t="shared" ref="T61" si="130">IF(T60=".",T60,MOD(T58+T59+T60,2))</f>
        <v>1</v>
      </c>
      <c r="U61" s="8">
        <f t="shared" ref="U61" si="131">IF(U60=".",U60,MOD(U58+U59+U60,2))</f>
        <v>1</v>
      </c>
      <c r="V61" s="8" t="str">
        <f t="shared" ref="V61" si="132">IF(V60=".",V60,MOD(V58+V59+V60,2))</f>
        <v>.</v>
      </c>
      <c r="W61" s="8">
        <f t="shared" ref="W61" si="133">IF(W60=".",W60,MOD(W58+W59+W60,2))</f>
        <v>1</v>
      </c>
      <c r="X61" s="8">
        <f t="shared" ref="X61" si="134">IF(X60=".",X60,MOD(X58+X59+X60,2))</f>
        <v>0</v>
      </c>
      <c r="Y61" s="8">
        <f t="shared" ref="Y61" si="135">IF(Y60=".",Y60,MOD(Y58+Y59+Y60,2))</f>
        <v>1</v>
      </c>
      <c r="Z61" s="8">
        <f t="shared" ref="Z61" si="136">IF(Z60=".",Z60,MOD(Z58+Z59+Z60,2))</f>
        <v>0</v>
      </c>
      <c r="AA61" s="8" t="s">
        <v>28</v>
      </c>
      <c r="AB61">
        <f>IF(H61=1,_xlfn.DECIMAL(H61&amp;I61&amp;J61&amp;K61&amp;M61&amp;N61&amp;O61&amp;P61&amp;R61&amp;S61&amp;T61&amp;U61&amp;W61&amp;X61&amp;Y61&amp;Z61,2)-65536,_xlfn.DECIMAL(H61&amp;I61&amp;J61&amp;K61&amp;M61&amp;N61&amp;O61&amp;P61&amp;R61&amp;S61&amp;T61&amp;U61&amp;W61&amp;X61&amp;Y61&amp;Z61,2))</f>
        <v>14778</v>
      </c>
      <c r="AE61">
        <f>AE59+AE60</f>
        <v>14778</v>
      </c>
    </row>
    <row r="63" spans="6:32" x14ac:dyDescent="0.25">
      <c r="I63" t="s">
        <v>41</v>
      </c>
      <c r="J63">
        <f>IF(H58+H59+H60&gt;1,1,0)</f>
        <v>1</v>
      </c>
      <c r="K63" t="s">
        <v>42</v>
      </c>
      <c r="L63">
        <f>1-MOD(SUM(R61:U61)+SUM(W61:Z61),2)</f>
        <v>0</v>
      </c>
      <c r="M63" t="s">
        <v>43</v>
      </c>
      <c r="N63">
        <f>V58</f>
        <v>0</v>
      </c>
      <c r="O63" t="s">
        <v>44</v>
      </c>
      <c r="P63">
        <f>IF(AB61=0,1,0)</f>
        <v>0</v>
      </c>
      <c r="Q63" t="s">
        <v>46</v>
      </c>
      <c r="R63" t="s">
        <v>45</v>
      </c>
      <c r="S63">
        <f>H61</f>
        <v>0</v>
      </c>
      <c r="T63" t="s">
        <v>47</v>
      </c>
      <c r="U63">
        <f>IF(H59+H60=H61,0,1)</f>
        <v>1</v>
      </c>
      <c r="AF63" t="str">
        <f>IF(AND(VALUE(H59)=0,VALUE(H60)=0,AB61=AE61),$AA$2,IF(AND(VALUE(H59)=1,VALUE(H60)=1,AB61=AE61),$AA$3,IF(AND(OR(AND(VALUE(H59)=0,VALUE(H60)=1),AND(VALUE(H59)=1,VALUE(H60)=0)),VALUE(H61)=0),$AA$4,IF(AND(OR(AND(VALUE(H59)=0,VALUE(H60)=1),AND(VALUE(H59)=1,VALUE(H60)=0)),VALUE(H61)=1),$AA$5,IF(AND(VALUE(H59)=0,VALUE(H60)=0,VALUE(U63)=1),$AA$6,IF(AND(VALUE(H59)=1,VALUE(H60)=1,VALUE(U63)=1),$AA$7,0))))))</f>
        <v>При сложении положительного и отрицательного слагаемых получено положительное число. Результат выполнения операции верный и корректный, совпадает с суммой десятичных эквивалентов.</v>
      </c>
    </row>
  </sheetData>
  <mergeCells count="14">
    <mergeCell ref="F18:F19"/>
    <mergeCell ref="AC18:AC19"/>
    <mergeCell ref="F25:F26"/>
    <mergeCell ref="AC25:AC26"/>
    <mergeCell ref="F59:F60"/>
    <mergeCell ref="AC59:AC60"/>
    <mergeCell ref="F32:F33"/>
    <mergeCell ref="F39:F40"/>
    <mergeCell ref="F46:F47"/>
    <mergeCell ref="F52:F53"/>
    <mergeCell ref="AC52:AC53"/>
    <mergeCell ref="AC46:AC47"/>
    <mergeCell ref="AC39:AC40"/>
    <mergeCell ref="AC32:AC33"/>
  </mergeCells>
  <pageMargins left="0.7" right="0.7" top="0.75" bottom="0.75" header="0.3" footer="0.3"/>
  <pageSetup paperSize="9" orientation="portrait" horizontalDpi="0" verticalDpi="0" r:id="rId1"/>
  <headerFooter>
    <oddHeader xml:space="preserve">&amp;LЕфимов Антон Дмитриевич&amp;CВариант 12&amp;Rlab5.xlsx
</oddHeader>
    <oddFooter>&amp;C04.12.2025 00:19:47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</dc:creator>
  <cp:lastModifiedBy>Антон</cp:lastModifiedBy>
  <dcterms:created xsi:type="dcterms:W3CDTF">2025-12-04T16:47:43Z</dcterms:created>
  <dcterms:modified xsi:type="dcterms:W3CDTF">2025-12-05T22:55:33Z</dcterms:modified>
</cp:coreProperties>
</file>